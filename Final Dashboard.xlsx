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jid\OneDrive\Desktop\farin\"/>
    </mc:Choice>
  </mc:AlternateContent>
  <xr:revisionPtr revIDLastSave="0" documentId="8_{B966C277-777B-40FA-BBE9-B33D47740AC9}" xr6:coauthVersionLast="47" xr6:coauthVersionMax="47" xr10:uidLastSave="{00000000-0000-0000-0000-000000000000}"/>
  <bookViews>
    <workbookView xWindow="-104" yWindow="-104" windowWidth="22326" windowHeight="11947" xr2:uid="{0A0AE7F0-0AFA-4B35-A8DD-20DBBCCA9A1D}"/>
  </bookViews>
  <sheets>
    <sheet name="Final_Dashboard" sheetId="1" r:id="rId1"/>
  </sheets>
  <definedNames>
    <definedName name="Slicer_Attempt">#N/A</definedName>
    <definedName name="Slicer_Count">#N/A</definedName>
    <definedName name="Slicer_Holidays">#N/A</definedName>
    <definedName name="Slicer_Humidity2">#N/A</definedName>
    <definedName name="Slicer_Instant">#N/A</definedName>
    <definedName name="Slicer_Month">#N/A</definedName>
    <definedName name="Slicer_Registered">#N/A</definedName>
    <definedName name="Slicer_Weathersituation">#N/A</definedName>
    <definedName name="Slicer_Year">#N/A</definedName>
  </definedNames>
  <calcPr calcId="191029"/>
  <pivotCaches>
    <pivotCache cacheId="3" r:id="rId2"/>
  </pivotCaches>
  <extLst>
    <ext xmlns:x14="http://schemas.microsoft.com/office/spreadsheetml/2009/9/main" uri="{BBE1A952-AA13-448e-AADC-164F8A28A991}">
      <x14:slicerCaches>
        <x14:slicerCache r:id="rId3"/>
        <x14:slicerCache r:id="rId4"/>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 l="1"/>
</calcChain>
</file>

<file path=xl/sharedStrings.xml><?xml version="1.0" encoding="utf-8"?>
<sst xmlns="http://schemas.openxmlformats.org/spreadsheetml/2006/main" count="34" uniqueCount="27">
  <si>
    <t>Customer Profile Split (Strategic Marketing)- Business Insight: Displays what percentage of your riders are subscription members versus walk-ups.</t>
  </si>
  <si>
    <t>Commuters vs. Leisure Days (Day Impact)- Business Insight: Proves whether your main customer base rides for daily work or holiday leisure.</t>
  </si>
  <si>
    <t>Temperature Category vs. Demand (Weather Impact)- Business Insight: Shows how ridership changes as it gets warmer.</t>
  </si>
  <si>
    <t>Table 1: Hourly Demand Peaks (Time Impact)- Business Insight: Shows exactly when the morning and evening commute rushes happen.</t>
  </si>
  <si>
    <t>Pivot Table description</t>
  </si>
  <si>
    <t>Sum of Count</t>
  </si>
  <si>
    <t>Sum of Registered</t>
  </si>
  <si>
    <t>Sum of Attempt</t>
  </si>
  <si>
    <t>Sum of Instant</t>
  </si>
  <si>
    <t>Sum of Weathersituation</t>
  </si>
  <si>
    <t>Average of Registered</t>
  </si>
  <si>
    <t>Average of Casual</t>
  </si>
  <si>
    <t>Overall Average</t>
  </si>
  <si>
    <t>Working</t>
  </si>
  <si>
    <t>Holiday</t>
  </si>
  <si>
    <t>Average of Count</t>
  </si>
  <si>
    <t>Hot</t>
  </si>
  <si>
    <t>Cold</t>
  </si>
  <si>
    <t>Temperature</t>
  </si>
  <si>
    <t>20-24</t>
  </si>
  <si>
    <t>15-19</t>
  </si>
  <si>
    <t>10-14</t>
  </si>
  <si>
    <t>5-9</t>
  </si>
  <si>
    <t>0-4</t>
  </si>
  <si>
    <t>Hour</t>
  </si>
  <si>
    <t>Bike-Share Demand Analysis Dashboard</t>
  </si>
  <si>
    <t>Max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</si>
</sst>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16"/>
      <color theme="4" tint="-0.249977111117893"/>
      <name val="Calibri"/>
      <family val="2"/>
      <scheme val="minor"/>
    </font>
    <font>
      <b/>
      <sz val="24"/>
      <color theme="4" tint="-0.249977111117893"/>
      <name val="Calibri"/>
      <family val="2"/>
      <scheme val="minor"/>
    </font>
    <font>
      <sz val="2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0" fillId="0" borderId="0" xfId="0" applyAlignment="1">
      <alignment horizontal="left"/>
    </xf>
    <xf numFmtId="0" fontId="0" fillId="0" borderId="1" xfId="0" applyBorder="1"/>
    <xf numFmtId="0" fontId="0" fillId="0" borderId="1" xfId="0" applyBorder="1" applyAlignment="1">
      <alignment wrapText="1"/>
    </xf>
    <xf numFmtId="2" fontId="0" fillId="0" borderId="1" xfId="0" applyNumberFormat="1" applyBorder="1" applyAlignment="1">
      <alignment horizontal="center" wrapText="1"/>
    </xf>
    <xf numFmtId="0" fontId="0" fillId="0" borderId="1" xfId="0" applyBorder="1" applyAlignment="1">
      <alignment horizontal="center" wrapText="1"/>
    </xf>
    <xf numFmtId="2" fontId="0" fillId="0" borderId="1" xfId="0" applyNumberFormat="1" applyBorder="1" applyAlignment="1">
      <alignment horizontal="center"/>
    </xf>
    <xf numFmtId="0" fontId="0" fillId="0" borderId="1" xfId="0" applyBorder="1" applyAlignment="1">
      <alignment horizontal="center"/>
    </xf>
    <xf numFmtId="0" fontId="2" fillId="0" borderId="0" xfId="0" applyFont="1"/>
    <xf numFmtId="0" fontId="0" fillId="0" borderId="1" xfId="0" applyBorder="1" applyAlignment="1">
      <alignment horizontal="center" vertical="top" wrapText="1"/>
    </xf>
    <xf numFmtId="0" fontId="0" fillId="0" borderId="1" xfId="0" pivotButton="1" applyBorder="1" applyAlignment="1">
      <alignment horizontal="center" vertical="top"/>
    </xf>
    <xf numFmtId="0" fontId="0" fillId="0" borderId="0" xfId="0" applyAlignment="1">
      <alignment vertical="top"/>
    </xf>
    <xf numFmtId="0" fontId="0" fillId="0" borderId="0" xfId="0" applyAlignment="1">
      <alignment horizontal="left" vertical="top"/>
    </xf>
    <xf numFmtId="0" fontId="3" fillId="0" borderId="0" xfId="0" applyFont="1"/>
    <xf numFmtId="0" fontId="4" fillId="0" borderId="0" xfId="0" applyFont="1"/>
    <xf numFmtId="0" fontId="5" fillId="0" borderId="0" xfId="0" applyFont="1"/>
    <xf numFmtId="0" fontId="6" fillId="0" borderId="0" xfId="0" applyFont="1"/>
    <xf numFmtId="2" fontId="0" fillId="0" borderId="0" xfId="0" applyNumberFormat="1"/>
  </cellXfs>
  <cellStyles count="1">
    <cellStyle name="Normal" xfId="0" builtinId="0"/>
  </cellStyles>
  <dxfs count="1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0.000"/>
    </dxf>
    <dxf>
      <alignment horizontal="center" indent="0"/>
    </dxf>
    <dxf>
      <alignment horizontal="right"/>
    </dxf>
    <dxf>
      <alignment wrapText="1"/>
    </dxf>
    <dxf>
      <alignment vertical="top"/>
    </dxf>
    <dxf>
      <alignment vertical="top"/>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0.000"/>
    </dxf>
    <dxf>
      <alignment horizontal="center" indent="0"/>
    </dxf>
    <dxf>
      <alignment horizontal="right"/>
    </dxf>
    <dxf>
      <alignment wrapText="1"/>
    </dxf>
    <dxf>
      <alignment vertical="top"/>
    </dxf>
    <dxf>
      <alignment vertical="top"/>
    </dxf>
    <dxf>
      <numFmt numFmtId="2" formatCode="0.00"/>
    </dxf>
    <dxf>
      <alignment horizontal="center"/>
    </dxf>
    <dxf>
      <alignment horizontal="center"/>
    </dxf>
    <dxf>
      <alignment horizontal="center"/>
    </dxf>
    <dxf>
      <alignment horizontal="center"/>
    </dxf>
    <dxf>
      <alignment horizontal="center"/>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0.000"/>
    </dxf>
    <dxf>
      <alignment horizontal="center" indent="0"/>
    </dxf>
    <dxf>
      <alignment horizontal="right"/>
    </dxf>
    <dxf>
      <alignment wrapText="1"/>
    </dxf>
    <dxf>
      <alignment vertical="top"/>
    </dxf>
    <dxf>
      <alignment vertical="top"/>
    </dxf>
    <dxf>
      <numFmt numFmtId="2" formatCode="0.00"/>
    </dxf>
    <dxf>
      <alignment horizontal="center"/>
    </dxf>
    <dxf>
      <alignment horizontal="center"/>
    </dxf>
    <dxf>
      <alignment horizontal="center"/>
    </dxf>
    <dxf>
      <alignment horizontal="center"/>
    </dxf>
    <dxf>
      <alignment horizontal="cent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0.000"/>
    </dxf>
    <dxf>
      <alignment horizontal="center" indent="0"/>
    </dxf>
    <dxf>
      <alignment horizontal="right"/>
    </dxf>
    <dxf>
      <alignment wrapText="1"/>
    </dxf>
    <dxf>
      <alignment vertical="top"/>
    </dxf>
    <dxf>
      <alignment vertical="top"/>
    </dxf>
    <dxf>
      <numFmt numFmtId="2" formatCode="0.00"/>
    </dxf>
    <dxf>
      <alignment horizontal="center"/>
    </dxf>
    <dxf>
      <alignment horizontal="center"/>
    </dxf>
    <dxf>
      <alignment horizontal="center"/>
    </dxf>
    <dxf>
      <alignment horizontal="center"/>
    </dxf>
    <dxf>
      <alignment horizontal="center"/>
    </dxf>
    <dxf>
      <alignment vertical="top"/>
    </dxf>
    <dxf>
      <alignment vertical="top"/>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styles" Target="styles.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microsoft.com/office/2007/relationships/slicerCache" Target="slicerCaches/slicerCache9.xml"/><Relationship Id="rId5" Type="http://schemas.microsoft.com/office/2007/relationships/slicerCache" Target="slicerCaches/slicerCache3.xml"/><Relationship Id="rId15" Type="http://schemas.openxmlformats.org/officeDocument/2006/relationships/calcChain" Target="calcChain.xml"/><Relationship Id="rId10" Type="http://schemas.microsoft.com/office/2007/relationships/slicerCache" Target="slicerCaches/slicerCache8.xml"/><Relationship Id="rId4" Type="http://schemas.microsoft.com/office/2007/relationships/slicerCache" Target="slicerCaches/slicerCache2.xml"/><Relationship Id="rId9" Type="http://schemas.microsoft.com/office/2007/relationships/slicerCache" Target="slicerCaches/slicerCache7.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Dashboard.xlsx]Final_Dashboard!PivotTable1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Hourly</a:t>
            </a:r>
            <a:r>
              <a:rPr lang="en-US" b="1" baseline="0"/>
              <a:t> Bike rental Trend</a:t>
            </a:r>
            <a:endParaRPr lang="en-US" b="1"/>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Final_Dashboard!$B$10</c:f>
              <c:strCache>
                <c:ptCount val="1"/>
                <c:pt idx="0">
                  <c:v>Total</c:v>
                </c:pt>
              </c:strCache>
            </c:strRef>
          </c:tx>
          <c:spPr>
            <a:ln w="28575" cap="rnd">
              <a:solidFill>
                <a:schemeClr val="accent1"/>
              </a:solidFill>
              <a:round/>
            </a:ln>
            <a:effectLst/>
          </c:spPr>
          <c:marker>
            <c:symbol val="none"/>
          </c:marker>
          <c:cat>
            <c:strRef>
              <c:f>Final_Dashboard!$A$11:$A$16</c:f>
              <c:strCache>
                <c:ptCount val="5"/>
                <c:pt idx="0">
                  <c:v>0-4</c:v>
                </c:pt>
                <c:pt idx="1">
                  <c:v>5-9</c:v>
                </c:pt>
                <c:pt idx="2">
                  <c:v>10-14</c:v>
                </c:pt>
                <c:pt idx="3">
                  <c:v>15-19</c:v>
                </c:pt>
                <c:pt idx="4">
                  <c:v>20-24</c:v>
                </c:pt>
              </c:strCache>
            </c:strRef>
          </c:cat>
          <c:val>
            <c:numRef>
              <c:f>Final_Dashboard!$B$11:$B$16</c:f>
              <c:numCache>
                <c:formatCode>0.00</c:formatCode>
                <c:ptCount val="5"/>
                <c:pt idx="0">
                  <c:v>8.8263157894736839</c:v>
                </c:pt>
                <c:pt idx="1">
                  <c:v>59.543269230769234</c:v>
                </c:pt>
                <c:pt idx="2">
                  <c:v>68.572769953051647</c:v>
                </c:pt>
                <c:pt idx="3">
                  <c:v>103.50462962962963</c:v>
                </c:pt>
                <c:pt idx="4">
                  <c:v>42.110465116279073</c:v>
                </c:pt>
              </c:numCache>
            </c:numRef>
          </c:val>
          <c:smooth val="0"/>
          <c:extLst>
            <c:ext xmlns:c16="http://schemas.microsoft.com/office/drawing/2014/chart" uri="{C3380CC4-5D6E-409C-BE32-E72D297353CC}">
              <c16:uniqueId val="{00000000-35B0-4930-88CD-0B57A304CD1D}"/>
            </c:ext>
          </c:extLst>
        </c:ser>
        <c:dLbls>
          <c:showLegendKey val="0"/>
          <c:showVal val="0"/>
          <c:showCatName val="0"/>
          <c:showSerName val="0"/>
          <c:showPercent val="0"/>
          <c:showBubbleSize val="0"/>
        </c:dLbls>
        <c:smooth val="0"/>
        <c:axId val="2130526384"/>
        <c:axId val="2005593456"/>
      </c:lineChart>
      <c:catAx>
        <c:axId val="213052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93456"/>
        <c:crosses val="autoZero"/>
        <c:auto val="1"/>
        <c:lblAlgn val="ctr"/>
        <c:lblOffset val="100"/>
        <c:noMultiLvlLbl val="0"/>
      </c:catAx>
      <c:valAx>
        <c:axId val="200559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Dashboard.xlsx]Final_Dashboard!PivotTable2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a:t>
            </a:r>
            <a:r>
              <a:rPr lang="en-US" b="1" baseline="0"/>
              <a:t> of bike Rental by temperature category</a:t>
            </a:r>
            <a:endParaRPr lang="en-US" b="1"/>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Final_Dashboard!$B$19</c:f>
              <c:strCache>
                <c:ptCount val="1"/>
                <c:pt idx="0">
                  <c:v>Total</c:v>
                </c:pt>
              </c:strCache>
            </c:strRef>
          </c:tx>
          <c:spPr>
            <a:solidFill>
              <a:schemeClr val="accent1"/>
            </a:solidFill>
            <a:ln>
              <a:noFill/>
            </a:ln>
            <a:effectLst/>
          </c:spPr>
          <c:invertIfNegative val="0"/>
          <c:cat>
            <c:strRef>
              <c:f>Final_Dashboard!$A$20:$A$22</c:f>
              <c:strCache>
                <c:ptCount val="2"/>
                <c:pt idx="0">
                  <c:v>Cold</c:v>
                </c:pt>
                <c:pt idx="1">
                  <c:v>Hot</c:v>
                </c:pt>
              </c:strCache>
            </c:strRef>
          </c:cat>
          <c:val>
            <c:numRef>
              <c:f>Final_Dashboard!$B$20:$B$22</c:f>
              <c:numCache>
                <c:formatCode>0.00</c:formatCode>
                <c:ptCount val="2"/>
                <c:pt idx="0">
                  <c:v>50.755555555555553</c:v>
                </c:pt>
                <c:pt idx="1">
                  <c:v>69.024154589371975</c:v>
                </c:pt>
              </c:numCache>
            </c:numRef>
          </c:val>
          <c:extLst>
            <c:ext xmlns:c16="http://schemas.microsoft.com/office/drawing/2014/chart" uri="{C3380CC4-5D6E-409C-BE32-E72D297353CC}">
              <c16:uniqueId val="{00000000-3EBC-469D-9157-C861CE82FCCD}"/>
            </c:ext>
          </c:extLst>
        </c:ser>
        <c:dLbls>
          <c:showLegendKey val="0"/>
          <c:showVal val="0"/>
          <c:showCatName val="0"/>
          <c:showSerName val="0"/>
          <c:showPercent val="0"/>
          <c:showBubbleSize val="0"/>
        </c:dLbls>
        <c:gapWidth val="219"/>
        <c:overlap val="-27"/>
        <c:axId val="7294703"/>
        <c:axId val="2005519536"/>
      </c:barChart>
      <c:catAx>
        <c:axId val="729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19536"/>
        <c:crosses val="autoZero"/>
        <c:auto val="1"/>
        <c:lblAlgn val="ctr"/>
        <c:lblOffset val="100"/>
        <c:noMultiLvlLbl val="0"/>
      </c:catAx>
      <c:valAx>
        <c:axId val="200551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Dashboard.xlsx]Final_Dashboard!PivotTable3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a:t>
            </a:r>
            <a:r>
              <a:rPr lang="en-US" b="1" baseline="0"/>
              <a:t> rental working day vs Holiday</a:t>
            </a:r>
            <a:endParaRPr lang="en-US" b="1"/>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Final_Dashboard!$B$25</c:f>
              <c:strCache>
                <c:ptCount val="1"/>
                <c:pt idx="0">
                  <c:v>Total</c:v>
                </c:pt>
              </c:strCache>
            </c:strRef>
          </c:tx>
          <c:spPr>
            <a:solidFill>
              <a:schemeClr val="accent1"/>
            </a:solidFill>
            <a:ln>
              <a:noFill/>
            </a:ln>
            <a:effectLst/>
          </c:spPr>
          <c:invertIfNegative val="0"/>
          <c:cat>
            <c:strRef>
              <c:f>Final_Dashboard!$A$26:$A$28</c:f>
              <c:strCache>
                <c:ptCount val="2"/>
                <c:pt idx="0">
                  <c:v>Holiday</c:v>
                </c:pt>
                <c:pt idx="1">
                  <c:v>Working</c:v>
                </c:pt>
              </c:strCache>
            </c:strRef>
          </c:cat>
          <c:val>
            <c:numRef>
              <c:f>Final_Dashboard!$B$26:$B$28</c:f>
              <c:numCache>
                <c:formatCode>0.00</c:formatCode>
                <c:ptCount val="2"/>
                <c:pt idx="0">
                  <c:v>41.666666666666664</c:v>
                </c:pt>
                <c:pt idx="1">
                  <c:v>58.736410256410259</c:v>
                </c:pt>
              </c:numCache>
            </c:numRef>
          </c:val>
          <c:extLst>
            <c:ext xmlns:c16="http://schemas.microsoft.com/office/drawing/2014/chart" uri="{C3380CC4-5D6E-409C-BE32-E72D297353CC}">
              <c16:uniqueId val="{00000000-DF1F-4BB8-8271-8616F94D822E}"/>
            </c:ext>
          </c:extLst>
        </c:ser>
        <c:dLbls>
          <c:showLegendKey val="0"/>
          <c:showVal val="0"/>
          <c:showCatName val="0"/>
          <c:showSerName val="0"/>
          <c:showPercent val="0"/>
          <c:showBubbleSize val="0"/>
        </c:dLbls>
        <c:gapWidth val="219"/>
        <c:overlap val="-27"/>
        <c:axId val="7308623"/>
        <c:axId val="2005534416"/>
      </c:barChart>
      <c:catAx>
        <c:axId val="730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Holiday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34416"/>
        <c:crosses val="autoZero"/>
        <c:auto val="1"/>
        <c:lblAlgn val="ctr"/>
        <c:lblOffset val="100"/>
        <c:noMultiLvlLbl val="0"/>
      </c:catAx>
      <c:valAx>
        <c:axId val="20055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Avegare</a:t>
                </a:r>
                <a:r>
                  <a:rPr lang="en-IN" baseline="0"/>
                  <a:t> of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Dashboard.xlsx]Final_Dashboard!PivotTable4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Casual</a:t>
            </a:r>
            <a:r>
              <a:rPr lang="en-IN" b="0" baseline="0"/>
              <a:t> vs Registered riders per Day</a:t>
            </a:r>
            <a:endParaRPr lang="en-IN" b="0"/>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Final_Dashboard!$A$31</c:f>
              <c:strCache>
                <c:ptCount val="1"/>
                <c:pt idx="0">
                  <c:v>Average of Casual</c:v>
                </c:pt>
              </c:strCache>
            </c:strRef>
          </c:tx>
          <c:spPr>
            <a:solidFill>
              <a:schemeClr val="accent1"/>
            </a:solidFill>
            <a:ln>
              <a:noFill/>
            </a:ln>
            <a:effectLst/>
          </c:spPr>
          <c:invertIfNegative val="0"/>
          <c:cat>
            <c:strRef>
              <c:f>Final_Dashboard!$A$32</c:f>
              <c:strCache>
                <c:ptCount val="1"/>
                <c:pt idx="0">
                  <c:v>Total</c:v>
                </c:pt>
              </c:strCache>
            </c:strRef>
          </c:cat>
          <c:val>
            <c:numRef>
              <c:f>Final_Dashboard!$A$32</c:f>
              <c:numCache>
                <c:formatCode>0.00</c:formatCode>
                <c:ptCount val="1"/>
                <c:pt idx="0">
                  <c:v>4.924924924924925</c:v>
                </c:pt>
              </c:numCache>
            </c:numRef>
          </c:val>
          <c:extLst>
            <c:ext xmlns:c16="http://schemas.microsoft.com/office/drawing/2014/chart" uri="{C3380CC4-5D6E-409C-BE32-E72D297353CC}">
              <c16:uniqueId val="{00000000-CDB0-41F4-8D58-8F7645A78C46}"/>
            </c:ext>
          </c:extLst>
        </c:ser>
        <c:ser>
          <c:idx val="1"/>
          <c:order val="1"/>
          <c:tx>
            <c:strRef>
              <c:f>Final_Dashboard!$B$31</c:f>
              <c:strCache>
                <c:ptCount val="1"/>
                <c:pt idx="0">
                  <c:v>Average of Registered</c:v>
                </c:pt>
              </c:strCache>
            </c:strRef>
          </c:tx>
          <c:spPr>
            <a:solidFill>
              <a:schemeClr val="accent1"/>
            </a:solidFill>
            <a:ln>
              <a:noFill/>
            </a:ln>
            <a:effectLst/>
          </c:spPr>
          <c:invertIfNegative val="0"/>
          <c:cat>
            <c:strRef>
              <c:f>Final_Dashboard!$A$32</c:f>
              <c:strCache>
                <c:ptCount val="1"/>
                <c:pt idx="0">
                  <c:v>Total</c:v>
                </c:pt>
              </c:strCache>
            </c:strRef>
          </c:cat>
          <c:val>
            <c:numRef>
              <c:f>Final_Dashboard!$B$32</c:f>
              <c:numCache>
                <c:formatCode>0.00</c:formatCode>
                <c:ptCount val="1"/>
                <c:pt idx="0">
                  <c:v>53.401401401401401</c:v>
                </c:pt>
              </c:numCache>
            </c:numRef>
          </c:val>
          <c:extLst>
            <c:ext xmlns:c16="http://schemas.microsoft.com/office/drawing/2014/chart" uri="{C3380CC4-5D6E-409C-BE32-E72D297353CC}">
              <c16:uniqueId val="{00000001-CDB0-41F4-8D58-8F7645A78C46}"/>
            </c:ext>
          </c:extLst>
        </c:ser>
        <c:dLbls>
          <c:showLegendKey val="0"/>
          <c:showVal val="0"/>
          <c:showCatName val="0"/>
          <c:showSerName val="0"/>
          <c:showPercent val="0"/>
          <c:showBubbleSize val="0"/>
        </c:dLbls>
        <c:gapWidth val="219"/>
        <c:overlap val="-27"/>
        <c:axId val="1011649551"/>
        <c:axId val="2005602096"/>
      </c:barChart>
      <c:catAx>
        <c:axId val="10116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02096"/>
        <c:crosses val="autoZero"/>
        <c:auto val="1"/>
        <c:lblAlgn val="ctr"/>
        <c:lblOffset val="100"/>
        <c:noMultiLvlLbl val="0"/>
      </c:catAx>
      <c:valAx>
        <c:axId val="2005602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4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Effect</a:t>
            </a:r>
            <a:r>
              <a:rPr lang="en-IN" b="1" baseline="0"/>
              <a:t> of weather condition on Bike rental</a:t>
            </a:r>
            <a:endParaRPr lang="en-IN" b="1"/>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Sum of Instant</c:v>
          </c:tx>
          <c:spPr>
            <a:solidFill>
              <a:srgbClr val="0070C0"/>
            </a:solidFill>
            <a:ln>
              <a:noFill/>
            </a:ln>
            <a:effectLst/>
            <a:sp3d/>
          </c:spPr>
          <c:invertIfNegative val="0"/>
          <c:cat>
            <c:strLit>
              <c:ptCount val="1"/>
              <c:pt idx="0">
                <c:v>Total</c:v>
              </c:pt>
            </c:strLit>
          </c:cat>
          <c:val>
            <c:numLit>
              <c:formatCode>General</c:formatCode>
              <c:ptCount val="1"/>
              <c:pt idx="0">
                <c:v>500500</c:v>
              </c:pt>
            </c:numLit>
          </c:val>
          <c:extLst>
            <c:ext xmlns:c16="http://schemas.microsoft.com/office/drawing/2014/chart" uri="{C3380CC4-5D6E-409C-BE32-E72D297353CC}">
              <c16:uniqueId val="{00000000-4F78-44C1-A60D-F5D930BDD06F}"/>
            </c:ext>
          </c:extLst>
        </c:ser>
        <c:ser>
          <c:idx val="1"/>
          <c:order val="1"/>
          <c:tx>
            <c:v>Sum of Weathersituation</c:v>
          </c:tx>
          <c:spPr>
            <a:solidFill>
              <a:schemeClr val="accent6">
                <a:lumMod val="40000"/>
                <a:lumOff val="60000"/>
              </a:schemeClr>
            </a:solidFill>
            <a:ln>
              <a:noFill/>
            </a:ln>
            <a:effectLst/>
            <a:sp3d/>
          </c:spPr>
          <c:invertIfNegative val="0"/>
          <c:dPt>
            <c:idx val="0"/>
            <c:invertIfNegative val="0"/>
            <c:bubble3D val="0"/>
            <c:spPr>
              <a:solidFill>
                <a:schemeClr val="bg1">
                  <a:lumMod val="50000"/>
                </a:schemeClr>
              </a:solidFill>
              <a:ln>
                <a:noFill/>
              </a:ln>
              <a:effectLst/>
              <a:sp3d/>
            </c:spPr>
            <c:extLst>
              <c:ext xmlns:c16="http://schemas.microsoft.com/office/drawing/2014/chart" uri="{C3380CC4-5D6E-409C-BE32-E72D297353CC}">
                <c16:uniqueId val="{00000002-4F78-44C1-A60D-F5D930BDD06F}"/>
              </c:ext>
            </c:extLst>
          </c:dPt>
          <c:cat>
            <c:strLit>
              <c:ptCount val="1"/>
              <c:pt idx="0">
                <c:v>Total</c:v>
              </c:pt>
            </c:strLit>
          </c:cat>
          <c:val>
            <c:numLit>
              <c:formatCode>General</c:formatCode>
              <c:ptCount val="1"/>
              <c:pt idx="0">
                <c:v>1480</c:v>
              </c:pt>
            </c:numLit>
          </c:val>
          <c:extLst>
            <c:ext xmlns:c16="http://schemas.microsoft.com/office/drawing/2014/chart" uri="{C3380CC4-5D6E-409C-BE32-E72D297353CC}">
              <c16:uniqueId val="{00000003-4F78-44C1-A60D-F5D930BDD06F}"/>
            </c:ext>
          </c:extLst>
        </c:ser>
        <c:dLbls>
          <c:showLegendKey val="0"/>
          <c:showVal val="0"/>
          <c:showCatName val="0"/>
          <c:showSerName val="0"/>
          <c:showPercent val="0"/>
          <c:showBubbleSize val="0"/>
        </c:dLbls>
        <c:gapWidth val="150"/>
        <c:shape val="box"/>
        <c:axId val="873107840"/>
        <c:axId val="873105440"/>
        <c:axId val="0"/>
      </c:bar3DChart>
      <c:catAx>
        <c:axId val="87310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05440"/>
        <c:crosses val="autoZero"/>
        <c:auto val="1"/>
        <c:lblAlgn val="ctr"/>
        <c:lblOffset val="100"/>
        <c:noMultiLvlLbl val="0"/>
      </c:catAx>
      <c:valAx>
        <c:axId val="8731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0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Rider</a:t>
            </a:r>
            <a:r>
              <a:rPr lang="en-IN" b="1" baseline="0"/>
              <a:t>s user participation summary</a:t>
            </a:r>
            <a:endParaRPr lang="en-IN" b="1"/>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Sum of Attempt</c:v>
          </c:tx>
          <c:spPr>
            <a:solidFill>
              <a:schemeClr val="accent1"/>
            </a:solidFill>
            <a:ln>
              <a:noFill/>
            </a:ln>
            <a:effectLst/>
            <a:sp3d/>
          </c:spPr>
          <c:invertIfNegative val="0"/>
          <c:cat>
            <c:strLit>
              <c:ptCount val="1"/>
              <c:pt idx="0">
                <c:v>Total</c:v>
              </c:pt>
            </c:strLit>
          </c:cat>
          <c:val>
            <c:numLit>
              <c:formatCode>General</c:formatCode>
              <c:ptCount val="1"/>
              <c:pt idx="0">
                <c:v>209.62630000000055</c:v>
              </c:pt>
            </c:numLit>
          </c:val>
          <c:extLst>
            <c:ext xmlns:c16="http://schemas.microsoft.com/office/drawing/2014/chart" uri="{C3380CC4-5D6E-409C-BE32-E72D297353CC}">
              <c16:uniqueId val="{00000000-D5DD-4608-A4E2-56C24A2D956B}"/>
            </c:ext>
          </c:extLst>
        </c:ser>
        <c:ser>
          <c:idx val="1"/>
          <c:order val="1"/>
          <c:tx>
            <c:v>Sum of Registered</c:v>
          </c:tx>
          <c:spPr>
            <a:solidFill>
              <a:schemeClr val="accent1"/>
            </a:solidFill>
            <a:ln>
              <a:noFill/>
            </a:ln>
            <a:effectLst/>
            <a:sp3d/>
          </c:spPr>
          <c:invertIfNegative val="0"/>
          <c:cat>
            <c:strLit>
              <c:ptCount val="1"/>
              <c:pt idx="0">
                <c:v>Total</c:v>
              </c:pt>
            </c:strLit>
          </c:cat>
          <c:val>
            <c:numLit>
              <c:formatCode>General</c:formatCode>
              <c:ptCount val="1"/>
              <c:pt idx="0">
                <c:v>53383</c:v>
              </c:pt>
            </c:numLit>
          </c:val>
          <c:extLst>
            <c:ext xmlns:c16="http://schemas.microsoft.com/office/drawing/2014/chart" uri="{C3380CC4-5D6E-409C-BE32-E72D297353CC}">
              <c16:uniqueId val="{00000001-D5DD-4608-A4E2-56C24A2D956B}"/>
            </c:ext>
          </c:extLst>
        </c:ser>
        <c:ser>
          <c:idx val="2"/>
          <c:order val="2"/>
          <c:tx>
            <c:v>Sum of Count</c:v>
          </c:tx>
          <c:spPr>
            <a:solidFill>
              <a:schemeClr val="accent3"/>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3-D5DD-4608-A4E2-56C24A2D956B}"/>
              </c:ext>
            </c:extLst>
          </c:dPt>
          <c:cat>
            <c:strLit>
              <c:ptCount val="1"/>
              <c:pt idx="0">
                <c:v>Total</c:v>
              </c:pt>
            </c:strLit>
          </c:cat>
          <c:val>
            <c:numLit>
              <c:formatCode>General</c:formatCode>
              <c:ptCount val="1"/>
              <c:pt idx="0">
                <c:v>58304</c:v>
              </c:pt>
            </c:numLit>
          </c:val>
          <c:extLst>
            <c:ext xmlns:c16="http://schemas.microsoft.com/office/drawing/2014/chart" uri="{C3380CC4-5D6E-409C-BE32-E72D297353CC}">
              <c16:uniqueId val="{00000004-D5DD-4608-A4E2-56C24A2D956B}"/>
            </c:ext>
          </c:extLst>
        </c:ser>
        <c:dLbls>
          <c:showLegendKey val="0"/>
          <c:showVal val="0"/>
          <c:showCatName val="0"/>
          <c:showSerName val="0"/>
          <c:showPercent val="0"/>
          <c:showBubbleSize val="0"/>
        </c:dLbls>
        <c:gapWidth val="150"/>
        <c:shape val="box"/>
        <c:axId val="873147200"/>
        <c:axId val="873130880"/>
        <c:axId val="771051616"/>
      </c:bar3DChart>
      <c:catAx>
        <c:axId val="87314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30880"/>
        <c:crosses val="autoZero"/>
        <c:auto val="1"/>
        <c:lblAlgn val="ctr"/>
        <c:lblOffset val="100"/>
        <c:noMultiLvlLbl val="0"/>
      </c:catAx>
      <c:valAx>
        <c:axId val="87313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47200"/>
        <c:crosses val="autoZero"/>
        <c:crossBetween val="between"/>
      </c:valAx>
      <c:serAx>
        <c:axId val="77105161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308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115316</xdr:colOff>
      <xdr:row>7</xdr:row>
      <xdr:rowOff>179985</xdr:rowOff>
    </xdr:from>
    <xdr:to>
      <xdr:col>9</xdr:col>
      <xdr:colOff>637590</xdr:colOff>
      <xdr:row>20</xdr:row>
      <xdr:rowOff>101880</xdr:rowOff>
    </xdr:to>
    <xdr:graphicFrame macro="">
      <xdr:nvGraphicFramePr>
        <xdr:cNvPr id="2" name="Chart 1">
          <a:extLst>
            <a:ext uri="{FF2B5EF4-FFF2-40B4-BE49-F238E27FC236}">
              <a16:creationId xmlns:a16="http://schemas.microsoft.com/office/drawing/2014/main" id="{3B9A949C-1F4F-43E8-B5EE-69C58EB0E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109930</xdr:colOff>
      <xdr:row>22</xdr:row>
      <xdr:rowOff>72466</xdr:rowOff>
    </xdr:from>
    <xdr:to>
      <xdr:col>10</xdr:col>
      <xdr:colOff>1169</xdr:colOff>
      <xdr:row>35</xdr:row>
      <xdr:rowOff>533476</xdr:rowOff>
    </xdr:to>
    <xdr:graphicFrame macro="">
      <xdr:nvGraphicFramePr>
        <xdr:cNvPr id="3" name="Chart 2">
          <a:extLst>
            <a:ext uri="{FF2B5EF4-FFF2-40B4-BE49-F238E27FC236}">
              <a16:creationId xmlns:a16="http://schemas.microsoft.com/office/drawing/2014/main" id="{79624885-699F-48A0-8D01-C91D6EC07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642671</xdr:colOff>
      <xdr:row>7</xdr:row>
      <xdr:rowOff>165353</xdr:rowOff>
    </xdr:from>
    <xdr:to>
      <xdr:col>16</xdr:col>
      <xdr:colOff>519379</xdr:colOff>
      <xdr:row>20</xdr:row>
      <xdr:rowOff>146304</xdr:rowOff>
    </xdr:to>
    <xdr:graphicFrame macro="">
      <xdr:nvGraphicFramePr>
        <xdr:cNvPr id="4" name="Chart 3">
          <a:extLst>
            <a:ext uri="{FF2B5EF4-FFF2-40B4-BE49-F238E27FC236}">
              <a16:creationId xmlns:a16="http://schemas.microsoft.com/office/drawing/2014/main" id="{F9844793-A861-4E6A-AD27-F0B7155CD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564412</xdr:colOff>
      <xdr:row>22</xdr:row>
      <xdr:rowOff>104775</xdr:rowOff>
    </xdr:from>
    <xdr:to>
      <xdr:col>16</xdr:col>
      <xdr:colOff>397458</xdr:colOff>
      <xdr:row>35</xdr:row>
      <xdr:rowOff>461010</xdr:rowOff>
    </xdr:to>
    <xdr:graphicFrame macro="">
      <xdr:nvGraphicFramePr>
        <xdr:cNvPr id="5" name="Chart 4">
          <a:extLst>
            <a:ext uri="{FF2B5EF4-FFF2-40B4-BE49-F238E27FC236}">
              <a16:creationId xmlns:a16="http://schemas.microsoft.com/office/drawing/2014/main" id="{05EEF037-8FFF-413A-97F5-570BB323D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124358</xdr:colOff>
      <xdr:row>37</xdr:row>
      <xdr:rowOff>14630</xdr:rowOff>
    </xdr:from>
    <xdr:to>
      <xdr:col>8</xdr:col>
      <xdr:colOff>636423</xdr:colOff>
      <xdr:row>52</xdr:row>
      <xdr:rowOff>14630</xdr:rowOff>
    </xdr:to>
    <xdr:graphicFrame macro="">
      <xdr:nvGraphicFramePr>
        <xdr:cNvPr id="6" name="Chart 5">
          <a:extLst>
            <a:ext uri="{FF2B5EF4-FFF2-40B4-BE49-F238E27FC236}">
              <a16:creationId xmlns:a16="http://schemas.microsoft.com/office/drawing/2014/main" id="{EEF8E88C-67DD-4FE0-A15C-77AAC49DF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541324</xdr:colOff>
      <xdr:row>36</xdr:row>
      <xdr:rowOff>138989</xdr:rowOff>
    </xdr:from>
    <xdr:to>
      <xdr:col>16</xdr:col>
      <xdr:colOff>621790</xdr:colOff>
      <xdr:row>51</xdr:row>
      <xdr:rowOff>138989</xdr:rowOff>
    </xdr:to>
    <xdr:graphicFrame macro="">
      <xdr:nvGraphicFramePr>
        <xdr:cNvPr id="7" name="Chart 6">
          <a:extLst>
            <a:ext uri="{FF2B5EF4-FFF2-40B4-BE49-F238E27FC236}">
              <a16:creationId xmlns:a16="http://schemas.microsoft.com/office/drawing/2014/main" id="{9F4235F3-F5C9-4CDB-BA42-BD0A105D3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811989</xdr:colOff>
      <xdr:row>20</xdr:row>
      <xdr:rowOff>80467</xdr:rowOff>
    </xdr:from>
    <xdr:ext cx="1828800" cy="709576"/>
    <mc:AlternateContent xmlns:mc="http://schemas.openxmlformats.org/markup-compatibility/2006">
      <mc:Choice xmlns:a14="http://schemas.microsoft.com/office/drawing/2010/main" Requires="a14">
        <xdr:graphicFrame macro="">
          <xdr:nvGraphicFramePr>
            <xdr:cNvPr id="8" name="Instant">
              <a:extLst>
                <a:ext uri="{FF2B5EF4-FFF2-40B4-BE49-F238E27FC236}">
                  <a16:creationId xmlns:a16="http://schemas.microsoft.com/office/drawing/2014/main" id="{53B5A892-033E-4B91-A213-DD59A8C1FA8B}"/>
                </a:ext>
              </a:extLst>
            </xdr:cNvPr>
            <xdr:cNvGraphicFramePr/>
          </xdr:nvGraphicFramePr>
          <xdr:xfrm>
            <a:off x="0" y="0"/>
            <a:ext cx="0" cy="0"/>
          </xdr:xfrm>
          <a:graphic>
            <a:graphicData uri="http://schemas.microsoft.com/office/drawing/2010/slicer">
              <sle:slicer xmlns:sle="http://schemas.microsoft.com/office/drawing/2010/slicer" name="Instant"/>
            </a:graphicData>
          </a:graphic>
        </xdr:graphicFrame>
      </mc:Choice>
      <mc:Fallback>
        <xdr:sp macro="" textlink="">
          <xdr:nvSpPr>
            <xdr:cNvPr id="0" name=""/>
            <xdr:cNvSpPr>
              <a:spLocks noTextEdit="1"/>
            </xdr:cNvSpPr>
          </xdr:nvSpPr>
          <xdr:spPr>
            <a:xfrm>
              <a:off x="13496546" y="3950208"/>
              <a:ext cx="1828800" cy="709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709576</xdr:colOff>
      <xdr:row>32</xdr:row>
      <xdr:rowOff>7315</xdr:rowOff>
    </xdr:from>
    <xdr:ext cx="1828800" cy="819303"/>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7191C9C1-60F1-4289-8FE0-99A480CD79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394133" y="6254496"/>
              <a:ext cx="1828800" cy="819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841248</xdr:colOff>
      <xdr:row>7</xdr:row>
      <xdr:rowOff>160935</xdr:rowOff>
    </xdr:from>
    <xdr:ext cx="1828800" cy="1075335"/>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A3006576-9B7A-4E17-BE9B-B0A8836B91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525805" y="1653236"/>
              <a:ext cx="1828800" cy="1075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25</xdr:col>
      <xdr:colOff>453544</xdr:colOff>
      <xdr:row>40</xdr:row>
      <xdr:rowOff>80467</xdr:rowOff>
    </xdr:from>
    <xdr:ext cx="1828800" cy="358445"/>
    <mc:AlternateContent xmlns:mc="http://schemas.openxmlformats.org/markup-compatibility/2006">
      <mc:Choice xmlns:a14="http://schemas.microsoft.com/office/drawing/2010/main" Requires="a14">
        <xdr:graphicFrame macro="">
          <xdr:nvGraphicFramePr>
            <xdr:cNvPr id="11" name="Holidays">
              <a:extLst>
                <a:ext uri="{FF2B5EF4-FFF2-40B4-BE49-F238E27FC236}">
                  <a16:creationId xmlns:a16="http://schemas.microsoft.com/office/drawing/2014/main" id="{AFAE6EEB-6A02-4B40-91C2-4ADF67645C2F}"/>
                </a:ext>
              </a:extLst>
            </xdr:cNvPr>
            <xdr:cNvGraphicFramePr/>
          </xdr:nvGraphicFramePr>
          <xdr:xfrm>
            <a:off x="0" y="0"/>
            <a:ext cx="0" cy="0"/>
          </xdr:xfrm>
          <a:graphic>
            <a:graphicData uri="http://schemas.microsoft.com/office/drawing/2010/slicer">
              <sle:slicer xmlns:sle="http://schemas.microsoft.com/office/drawing/2010/slicer" name="Holidays"/>
            </a:graphicData>
          </a:graphic>
        </xdr:graphicFrame>
      </mc:Choice>
      <mc:Fallback>
        <xdr:sp macro="" textlink="">
          <xdr:nvSpPr>
            <xdr:cNvPr id="0" name=""/>
            <xdr:cNvSpPr>
              <a:spLocks noTextEdit="1"/>
            </xdr:cNvSpPr>
          </xdr:nvSpPr>
          <xdr:spPr>
            <a:xfrm>
              <a:off x="19699835" y="8156448"/>
              <a:ext cx="1828800" cy="358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790042</xdr:colOff>
      <xdr:row>35</xdr:row>
      <xdr:rowOff>424282</xdr:rowOff>
    </xdr:from>
    <xdr:ext cx="1828800" cy="1302105"/>
    <mc:AlternateContent xmlns:mc="http://schemas.openxmlformats.org/markup-compatibility/2006">
      <mc:Choice xmlns:a14="http://schemas.microsoft.com/office/drawing/2010/main" Requires="a14">
        <xdr:graphicFrame macro="">
          <xdr:nvGraphicFramePr>
            <xdr:cNvPr id="12" name="Weathersituation">
              <a:extLst>
                <a:ext uri="{FF2B5EF4-FFF2-40B4-BE49-F238E27FC236}">
                  <a16:creationId xmlns:a16="http://schemas.microsoft.com/office/drawing/2014/main" id="{CBFF92FC-A566-48D1-B8FD-1F559BA0F2CE}"/>
                </a:ext>
              </a:extLst>
            </xdr:cNvPr>
            <xdr:cNvGraphicFramePr/>
          </xdr:nvGraphicFramePr>
          <xdr:xfrm>
            <a:off x="0" y="0"/>
            <a:ext cx="0" cy="0"/>
          </xdr:xfrm>
          <a:graphic>
            <a:graphicData uri="http://schemas.microsoft.com/office/drawing/2010/slicer">
              <sle:slicer xmlns:sle="http://schemas.microsoft.com/office/drawing/2010/slicer" name="Weathersituation"/>
            </a:graphicData>
          </a:graphic>
        </xdr:graphicFrame>
      </mc:Choice>
      <mc:Fallback>
        <xdr:sp macro="" textlink="">
          <xdr:nvSpPr>
            <xdr:cNvPr id="0" name=""/>
            <xdr:cNvSpPr>
              <a:spLocks noTextEdit="1"/>
            </xdr:cNvSpPr>
          </xdr:nvSpPr>
          <xdr:spPr>
            <a:xfrm>
              <a:off x="13474599" y="7220103"/>
              <a:ext cx="1828800" cy="1302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811986</xdr:colOff>
      <xdr:row>25</xdr:row>
      <xdr:rowOff>51206</xdr:rowOff>
    </xdr:from>
    <xdr:ext cx="1828800" cy="534011"/>
    <mc:AlternateContent xmlns:mc="http://schemas.openxmlformats.org/markup-compatibility/2006">
      <mc:Choice xmlns:a14="http://schemas.microsoft.com/office/drawing/2010/main" Requires="a14">
        <xdr:graphicFrame macro="">
          <xdr:nvGraphicFramePr>
            <xdr:cNvPr id="13" name="Attempt">
              <a:extLst>
                <a:ext uri="{FF2B5EF4-FFF2-40B4-BE49-F238E27FC236}">
                  <a16:creationId xmlns:a16="http://schemas.microsoft.com/office/drawing/2014/main" id="{A7C902ED-23B3-4BAB-99CF-F4B364F73B7A}"/>
                </a:ext>
              </a:extLst>
            </xdr:cNvPr>
            <xdr:cNvGraphicFramePr/>
          </xdr:nvGraphicFramePr>
          <xdr:xfrm>
            <a:off x="0" y="0"/>
            <a:ext cx="0" cy="0"/>
          </xdr:xfrm>
          <a:graphic>
            <a:graphicData uri="http://schemas.microsoft.com/office/drawing/2010/slicer">
              <sle:slicer xmlns:sle="http://schemas.microsoft.com/office/drawing/2010/slicer" name="Attempt"/>
            </a:graphicData>
          </a:graphic>
        </xdr:graphicFrame>
      </mc:Choice>
      <mc:Fallback>
        <xdr:sp macro="" textlink="">
          <xdr:nvSpPr>
            <xdr:cNvPr id="0" name=""/>
            <xdr:cNvSpPr>
              <a:spLocks noTextEdit="1"/>
            </xdr:cNvSpPr>
          </xdr:nvSpPr>
          <xdr:spPr>
            <a:xfrm>
              <a:off x="13496543" y="4835347"/>
              <a:ext cx="1828800" cy="534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833932</xdr:colOff>
      <xdr:row>14</xdr:row>
      <xdr:rowOff>80467</xdr:rowOff>
    </xdr:from>
    <xdr:ext cx="1828800" cy="768097"/>
    <mc:AlternateContent xmlns:mc="http://schemas.openxmlformats.org/markup-compatibility/2006">
      <mc:Choice xmlns:a14="http://schemas.microsoft.com/office/drawing/2010/main" Requires="a14">
        <xdr:graphicFrame macro="">
          <xdr:nvGraphicFramePr>
            <xdr:cNvPr id="14" name="Humidity2">
              <a:extLst>
                <a:ext uri="{FF2B5EF4-FFF2-40B4-BE49-F238E27FC236}">
                  <a16:creationId xmlns:a16="http://schemas.microsoft.com/office/drawing/2014/main" id="{48F32EBA-7141-41FA-8685-A3665B34CF87}"/>
                </a:ext>
              </a:extLst>
            </xdr:cNvPr>
            <xdr:cNvGraphicFramePr/>
          </xdr:nvGraphicFramePr>
          <xdr:xfrm>
            <a:off x="0" y="0"/>
            <a:ext cx="0" cy="0"/>
          </xdr:xfrm>
          <a:graphic>
            <a:graphicData uri="http://schemas.microsoft.com/office/drawing/2010/slicer">
              <sle:slicer xmlns:sle="http://schemas.microsoft.com/office/drawing/2010/slicer" name="Humidity2"/>
            </a:graphicData>
          </a:graphic>
        </xdr:graphicFrame>
      </mc:Choice>
      <mc:Fallback>
        <xdr:sp macro="" textlink="">
          <xdr:nvSpPr>
            <xdr:cNvPr id="0" name=""/>
            <xdr:cNvSpPr>
              <a:spLocks noTextEdit="1"/>
            </xdr:cNvSpPr>
          </xdr:nvSpPr>
          <xdr:spPr>
            <a:xfrm>
              <a:off x="13518489" y="2852928"/>
              <a:ext cx="1828800" cy="76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848565</xdr:colOff>
      <xdr:row>43</xdr:row>
      <xdr:rowOff>7316</xdr:rowOff>
    </xdr:from>
    <xdr:ext cx="1828800" cy="753465"/>
    <mc:AlternateContent xmlns:mc="http://schemas.openxmlformats.org/markup-compatibility/2006">
      <mc:Choice xmlns:a14="http://schemas.microsoft.com/office/drawing/2010/main" Requires="a14">
        <xdr:graphicFrame macro="">
          <xdr:nvGraphicFramePr>
            <xdr:cNvPr id="15" name="Registered">
              <a:extLst>
                <a:ext uri="{FF2B5EF4-FFF2-40B4-BE49-F238E27FC236}">
                  <a16:creationId xmlns:a16="http://schemas.microsoft.com/office/drawing/2014/main" id="{4C01E2D4-0936-4F82-8D17-21A4A4EED826}"/>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dr:sp macro="" textlink="">
          <xdr:nvSpPr>
            <xdr:cNvPr id="0" name=""/>
            <xdr:cNvSpPr>
              <a:spLocks noTextEdit="1"/>
            </xdr:cNvSpPr>
          </xdr:nvSpPr>
          <xdr:spPr>
            <a:xfrm>
              <a:off x="13533122" y="8631937"/>
              <a:ext cx="1828800" cy="75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782728</xdr:colOff>
      <xdr:row>29</xdr:row>
      <xdr:rowOff>21947</xdr:rowOff>
    </xdr:from>
    <xdr:ext cx="1828800" cy="607162"/>
    <mc:AlternateContent xmlns:mc="http://schemas.openxmlformats.org/markup-compatibility/2006">
      <mc:Choice xmlns:a14="http://schemas.microsoft.com/office/drawing/2010/main" Requires="a14">
        <xdr:graphicFrame macro="">
          <xdr:nvGraphicFramePr>
            <xdr:cNvPr id="16" name="Count">
              <a:extLst>
                <a:ext uri="{FF2B5EF4-FFF2-40B4-BE49-F238E27FC236}">
                  <a16:creationId xmlns:a16="http://schemas.microsoft.com/office/drawing/2014/main" id="{E3A98A5C-E23E-4FD7-983C-94E8CC400FA1}"/>
                </a:ext>
              </a:extLst>
            </xdr:cNvPr>
            <xdr:cNvGraphicFramePr/>
          </xdr:nvGraphicFramePr>
          <xdr:xfrm>
            <a:off x="0" y="0"/>
            <a:ext cx="0" cy="0"/>
          </xdr:xfrm>
          <a:graphic>
            <a:graphicData uri="http://schemas.microsoft.com/office/drawing/2010/slicer">
              <sle:slicer xmlns:sle="http://schemas.microsoft.com/office/drawing/2010/slicer" name="Count"/>
            </a:graphicData>
          </a:graphic>
        </xdr:graphicFrame>
      </mc:Choice>
      <mc:Fallback>
        <xdr:sp macro="" textlink="">
          <xdr:nvSpPr>
            <xdr:cNvPr id="0" name=""/>
            <xdr:cNvSpPr>
              <a:spLocks noTextEdit="1"/>
            </xdr:cNvSpPr>
          </xdr:nvSpPr>
          <xdr:spPr>
            <a:xfrm>
              <a:off x="13467285" y="5537608"/>
              <a:ext cx="1828800" cy="607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xt%20hike%20project%201%20-%20update%20Final%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Bhardwaj" refreshedDate="46218.530999421295" createdVersion="8" refreshedVersion="8" minRefreshableVersion="3" recordCount="1000" xr:uid="{03650427-97BB-40C8-BD0C-092717D49E3F}">
  <cacheSource type="worksheet">
    <worksheetSource name="Table466" r:id="rId2"/>
  </cacheSource>
  <cacheFields count="19">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fieldGroup base="5">
        <rangePr startNum="0" endNum="23" groupInterval="5"/>
        <groupItems count="7">
          <s v="&lt;0"/>
          <s v="0-4"/>
          <s v="5-9"/>
          <s v="10-14"/>
          <s v="15-19"/>
          <s v="20-24"/>
          <s v="&gt;25"/>
        </groupItems>
      </fieldGroup>
    </cacheField>
    <cacheField name="Holiday" numFmtId="0">
      <sharedItems count="2">
        <b v="0"/>
        <b v="1"/>
      </sharedItems>
    </cacheField>
    <cacheField name="Holidays" numFmtId="0">
      <sharedItems count="2">
        <s v="Working"/>
        <s v="Holiday"/>
      </sharedItems>
    </cacheField>
    <cacheField name="Weekday" numFmtId="0">
      <sharedItems containsSemiMixedTypes="0" containsString="0" containsNumber="1" containsInteger="1" minValue="0" maxValue="6"/>
    </cacheField>
    <cacheField name="Weather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Temperature " numFmtId="0">
      <sharedItems count="2">
        <s v="Cold"/>
        <s v="Hot"/>
      </sharedItems>
    </cacheField>
    <cacheField name="Attempt" numFmtId="0">
      <sharedItems containsString="0" containsBlank="1" containsNumber="1" minValue="0" maxValue="0.45450000000000002" count="31">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idity" numFmtId="0">
      <sharedItems/>
    </cacheField>
    <cacheField name="Humidity2"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657694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11-01-01T00:00:00"/>
    <x v="0"/>
    <x v="0"/>
    <x v="0"/>
    <x v="0"/>
    <x v="0"/>
    <x v="0"/>
    <n v="6"/>
    <x v="0"/>
    <x v="0"/>
    <x v="0"/>
    <x v="0"/>
    <s v="Low Humidity"/>
    <x v="0"/>
    <n v="0"/>
    <n v="3"/>
    <x v="0"/>
    <x v="0"/>
  </r>
  <r>
    <x v="1"/>
    <d v="2011-01-01T00:00:00"/>
    <x v="0"/>
    <x v="0"/>
    <x v="0"/>
    <x v="1"/>
    <x v="0"/>
    <x v="0"/>
    <n v="6"/>
    <x v="0"/>
    <x v="1"/>
    <x v="0"/>
    <x v="1"/>
    <s v="Low Humidity"/>
    <x v="1"/>
    <n v="0"/>
    <n v="8"/>
    <x v="1"/>
    <x v="1"/>
  </r>
  <r>
    <x v="2"/>
    <d v="2011-01-01T00:00:00"/>
    <x v="0"/>
    <x v="0"/>
    <x v="0"/>
    <x v="2"/>
    <x v="0"/>
    <x v="0"/>
    <n v="6"/>
    <x v="0"/>
    <x v="1"/>
    <x v="0"/>
    <x v="1"/>
    <s v="High Humidity"/>
    <x v="1"/>
    <n v="0"/>
    <n v="5"/>
    <x v="2"/>
    <x v="2"/>
  </r>
  <r>
    <x v="3"/>
    <d v="2011-01-01T00:00:00"/>
    <x v="0"/>
    <x v="0"/>
    <x v="0"/>
    <x v="3"/>
    <x v="0"/>
    <x v="0"/>
    <n v="6"/>
    <x v="0"/>
    <x v="0"/>
    <x v="0"/>
    <x v="0"/>
    <s v="High Humidity"/>
    <x v="2"/>
    <n v="0"/>
    <n v="3"/>
    <x v="3"/>
    <x v="3"/>
  </r>
  <r>
    <x v="4"/>
    <d v="2011-01-01T00:00:00"/>
    <x v="0"/>
    <x v="0"/>
    <x v="0"/>
    <x v="4"/>
    <x v="0"/>
    <x v="0"/>
    <n v="6"/>
    <x v="0"/>
    <x v="0"/>
    <x v="0"/>
    <x v="0"/>
    <s v="High Humidity"/>
    <x v="2"/>
    <n v="0"/>
    <n v="0"/>
    <x v="4"/>
    <x v="4"/>
  </r>
  <r>
    <x v="5"/>
    <d v="2011-01-01T00:00:00"/>
    <x v="0"/>
    <x v="0"/>
    <x v="0"/>
    <x v="5"/>
    <x v="0"/>
    <x v="0"/>
    <n v="6"/>
    <x v="1"/>
    <x v="0"/>
    <x v="0"/>
    <x v="2"/>
    <s v="High Humidity"/>
    <x v="2"/>
    <n v="8.9599999999999999E-2"/>
    <n v="0"/>
    <x v="4"/>
    <x v="4"/>
  </r>
  <r>
    <x v="6"/>
    <d v="2011-01-01T00:00:00"/>
    <x v="0"/>
    <x v="0"/>
    <x v="0"/>
    <x v="6"/>
    <x v="0"/>
    <x v="0"/>
    <n v="6"/>
    <x v="0"/>
    <x v="1"/>
    <x v="0"/>
    <x v="1"/>
    <s v="High Humidity"/>
    <x v="1"/>
    <n v="0"/>
    <n v="2"/>
    <x v="5"/>
    <x v="5"/>
  </r>
  <r>
    <x v="7"/>
    <d v="2011-01-01T00:00:00"/>
    <x v="0"/>
    <x v="0"/>
    <x v="0"/>
    <x v="7"/>
    <x v="0"/>
    <x v="0"/>
    <n v="6"/>
    <x v="0"/>
    <x v="2"/>
    <x v="0"/>
    <x v="2"/>
    <s v="High Humidity"/>
    <x v="3"/>
    <n v="0"/>
    <n v="1"/>
    <x v="6"/>
    <x v="6"/>
  </r>
  <r>
    <x v="8"/>
    <d v="2011-01-01T00:00:00"/>
    <x v="0"/>
    <x v="0"/>
    <x v="0"/>
    <x v="8"/>
    <x v="0"/>
    <x v="0"/>
    <n v="6"/>
    <x v="0"/>
    <x v="0"/>
    <x v="0"/>
    <x v="3"/>
    <s v="High Humidity"/>
    <x v="2"/>
    <n v="0"/>
    <n v="1"/>
    <x v="7"/>
    <x v="7"/>
  </r>
  <r>
    <x v="9"/>
    <d v="2011-01-01T00:00:00"/>
    <x v="0"/>
    <x v="0"/>
    <x v="0"/>
    <x v="9"/>
    <x v="0"/>
    <x v="0"/>
    <n v="6"/>
    <x v="0"/>
    <x v="3"/>
    <x v="0"/>
    <x v="4"/>
    <s v="High Humidity"/>
    <x v="4"/>
    <n v="0"/>
    <n v="8"/>
    <x v="8"/>
    <x v="8"/>
  </r>
  <r>
    <x v="10"/>
    <d v="2011-01-01T00:00:00"/>
    <x v="0"/>
    <x v="0"/>
    <x v="0"/>
    <x v="10"/>
    <x v="0"/>
    <x v="0"/>
    <n v="6"/>
    <x v="0"/>
    <x v="4"/>
    <x v="0"/>
    <x v="5"/>
    <s v="High Humidity"/>
    <x v="4"/>
    <n v="0.25369999999999998"/>
    <n v="12"/>
    <x v="9"/>
    <x v="9"/>
  </r>
  <r>
    <x v="11"/>
    <d v="2011-01-01T00:00:00"/>
    <x v="0"/>
    <x v="0"/>
    <x v="0"/>
    <x v="11"/>
    <x v="0"/>
    <x v="0"/>
    <n v="6"/>
    <x v="0"/>
    <x v="5"/>
    <x v="0"/>
    <x v="6"/>
    <s v="High Humidity"/>
    <x v="0"/>
    <n v="0.28360000000000002"/>
    <n v="26"/>
    <x v="10"/>
    <x v="10"/>
  </r>
  <r>
    <x v="12"/>
    <d v="2011-01-01T00:00:00"/>
    <x v="0"/>
    <x v="0"/>
    <x v="0"/>
    <x v="12"/>
    <x v="0"/>
    <x v="0"/>
    <n v="6"/>
    <x v="0"/>
    <x v="6"/>
    <x v="0"/>
    <x v="7"/>
    <s v="High Humidity"/>
    <x v="5"/>
    <n v="0.28360000000000002"/>
    <n v="29"/>
    <x v="11"/>
    <x v="11"/>
  </r>
  <r>
    <x v="13"/>
    <d v="2011-01-01T00:00:00"/>
    <x v="0"/>
    <x v="0"/>
    <x v="0"/>
    <x v="13"/>
    <x v="0"/>
    <x v="0"/>
    <n v="6"/>
    <x v="1"/>
    <x v="7"/>
    <x v="0"/>
    <x v="8"/>
    <s v="High Humidity"/>
    <x v="6"/>
    <n v="0.29849999999999999"/>
    <n v="47"/>
    <x v="12"/>
    <x v="12"/>
  </r>
  <r>
    <x v="14"/>
    <d v="2011-01-01T00:00:00"/>
    <x v="0"/>
    <x v="0"/>
    <x v="0"/>
    <x v="14"/>
    <x v="0"/>
    <x v="0"/>
    <n v="6"/>
    <x v="1"/>
    <x v="7"/>
    <x v="0"/>
    <x v="8"/>
    <s v="High Humidity"/>
    <x v="6"/>
    <n v="0.28360000000000002"/>
    <n v="35"/>
    <x v="13"/>
    <x v="13"/>
  </r>
  <r>
    <x v="15"/>
    <d v="2011-01-01T00:00:00"/>
    <x v="0"/>
    <x v="0"/>
    <x v="0"/>
    <x v="15"/>
    <x v="0"/>
    <x v="0"/>
    <n v="6"/>
    <x v="1"/>
    <x v="8"/>
    <x v="0"/>
    <x v="9"/>
    <s v="High Humidity"/>
    <x v="5"/>
    <n v="0.29849999999999999"/>
    <n v="40"/>
    <x v="14"/>
    <x v="14"/>
  </r>
  <r>
    <x v="16"/>
    <d v="2011-01-01T00:00:00"/>
    <x v="0"/>
    <x v="0"/>
    <x v="0"/>
    <x v="16"/>
    <x v="0"/>
    <x v="0"/>
    <n v="6"/>
    <x v="1"/>
    <x v="6"/>
    <x v="0"/>
    <x v="7"/>
    <s v="High Humidity"/>
    <x v="7"/>
    <n v="0.29849999999999999"/>
    <n v="41"/>
    <x v="15"/>
    <x v="15"/>
  </r>
  <r>
    <x v="17"/>
    <d v="2011-01-01T00:00:00"/>
    <x v="0"/>
    <x v="0"/>
    <x v="0"/>
    <x v="17"/>
    <x v="0"/>
    <x v="0"/>
    <n v="6"/>
    <x v="1"/>
    <x v="8"/>
    <x v="0"/>
    <x v="3"/>
    <s v="High Humidity"/>
    <x v="7"/>
    <n v="0.28360000000000002"/>
    <n v="15"/>
    <x v="15"/>
    <x v="16"/>
  </r>
  <r>
    <x v="18"/>
    <d v="2011-01-01T00:00:00"/>
    <x v="0"/>
    <x v="0"/>
    <x v="0"/>
    <x v="18"/>
    <x v="0"/>
    <x v="0"/>
    <n v="6"/>
    <x v="2"/>
    <x v="6"/>
    <x v="0"/>
    <x v="7"/>
    <s v="High Humidity"/>
    <x v="8"/>
    <n v="0.25369999999999998"/>
    <n v="9"/>
    <x v="16"/>
    <x v="17"/>
  </r>
  <r>
    <x v="19"/>
    <d v="2011-01-01T00:00:00"/>
    <x v="0"/>
    <x v="0"/>
    <x v="0"/>
    <x v="19"/>
    <x v="0"/>
    <x v="0"/>
    <n v="6"/>
    <x v="2"/>
    <x v="6"/>
    <x v="0"/>
    <x v="7"/>
    <s v="High Humidity"/>
    <x v="8"/>
    <n v="0.25369999999999998"/>
    <n v="6"/>
    <x v="17"/>
    <x v="18"/>
  </r>
  <r>
    <x v="20"/>
    <d v="2011-01-01T00:00:00"/>
    <x v="0"/>
    <x v="0"/>
    <x v="0"/>
    <x v="20"/>
    <x v="0"/>
    <x v="0"/>
    <n v="6"/>
    <x v="1"/>
    <x v="9"/>
    <x v="0"/>
    <x v="10"/>
    <s v="High Humidity"/>
    <x v="9"/>
    <n v="0.25369999999999998"/>
    <n v="11"/>
    <x v="18"/>
    <x v="9"/>
  </r>
  <r>
    <x v="21"/>
    <d v="2011-01-01T00:00:00"/>
    <x v="0"/>
    <x v="0"/>
    <x v="0"/>
    <x v="21"/>
    <x v="0"/>
    <x v="0"/>
    <n v="6"/>
    <x v="1"/>
    <x v="9"/>
    <x v="0"/>
    <x v="10"/>
    <s v="High Humidity"/>
    <x v="9"/>
    <n v="0.19400000000000001"/>
    <n v="3"/>
    <x v="17"/>
    <x v="19"/>
  </r>
  <r>
    <x v="22"/>
    <d v="2011-01-01T00:00:00"/>
    <x v="0"/>
    <x v="0"/>
    <x v="0"/>
    <x v="22"/>
    <x v="0"/>
    <x v="0"/>
    <n v="6"/>
    <x v="1"/>
    <x v="9"/>
    <x v="0"/>
    <x v="10"/>
    <s v="High Humidity"/>
    <x v="10"/>
    <n v="0.22389999999999999"/>
    <n v="11"/>
    <x v="19"/>
    <x v="20"/>
  </r>
  <r>
    <x v="23"/>
    <d v="2011-01-01T00:00:00"/>
    <x v="0"/>
    <x v="0"/>
    <x v="0"/>
    <x v="23"/>
    <x v="0"/>
    <x v="0"/>
    <n v="6"/>
    <x v="1"/>
    <x v="7"/>
    <x v="0"/>
    <x v="3"/>
    <s v="High Humidity"/>
    <x v="8"/>
    <n v="0.29849999999999999"/>
    <n v="15"/>
    <x v="9"/>
    <x v="21"/>
  </r>
  <r>
    <x v="24"/>
    <d v="2011-01-02T00:00:00"/>
    <x v="0"/>
    <x v="0"/>
    <x v="0"/>
    <x v="0"/>
    <x v="0"/>
    <x v="0"/>
    <n v="0"/>
    <x v="1"/>
    <x v="7"/>
    <x v="0"/>
    <x v="8"/>
    <s v="High Humidity"/>
    <x v="8"/>
    <n v="0.29849999999999999"/>
    <n v="4"/>
    <x v="0"/>
    <x v="22"/>
  </r>
  <r>
    <x v="25"/>
    <d v="2011-01-02T00:00:00"/>
    <x v="0"/>
    <x v="0"/>
    <x v="0"/>
    <x v="1"/>
    <x v="0"/>
    <x v="0"/>
    <n v="0"/>
    <x v="1"/>
    <x v="8"/>
    <x v="0"/>
    <x v="9"/>
    <s v="High Humidity"/>
    <x v="10"/>
    <n v="0.25369999999999998"/>
    <n v="1"/>
    <x v="20"/>
    <x v="22"/>
  </r>
  <r>
    <x v="26"/>
    <d v="2011-01-02T00:00:00"/>
    <x v="0"/>
    <x v="0"/>
    <x v="0"/>
    <x v="2"/>
    <x v="0"/>
    <x v="0"/>
    <n v="0"/>
    <x v="1"/>
    <x v="6"/>
    <x v="0"/>
    <x v="7"/>
    <s v="High Humidity"/>
    <x v="11"/>
    <n v="0.28360000000000002"/>
    <n v="1"/>
    <x v="21"/>
    <x v="23"/>
  </r>
  <r>
    <x v="27"/>
    <d v="2011-01-02T00:00:00"/>
    <x v="0"/>
    <x v="0"/>
    <x v="0"/>
    <x v="3"/>
    <x v="0"/>
    <x v="0"/>
    <n v="0"/>
    <x v="1"/>
    <x v="7"/>
    <x v="1"/>
    <x v="8"/>
    <s v="High Humidity"/>
    <x v="10"/>
    <n v="0.19400000000000001"/>
    <n v="2"/>
    <x v="22"/>
    <x v="24"/>
  </r>
  <r>
    <x v="28"/>
    <d v="2011-01-02T00:00:00"/>
    <x v="0"/>
    <x v="0"/>
    <x v="0"/>
    <x v="4"/>
    <x v="0"/>
    <x v="0"/>
    <n v="0"/>
    <x v="1"/>
    <x v="7"/>
    <x v="1"/>
    <x v="3"/>
    <s v="High Humidity"/>
    <x v="10"/>
    <n v="0.19400000000000001"/>
    <n v="2"/>
    <x v="4"/>
    <x v="6"/>
  </r>
  <r>
    <x v="29"/>
    <d v="2011-01-02T00:00:00"/>
    <x v="0"/>
    <x v="0"/>
    <x v="0"/>
    <x v="6"/>
    <x v="0"/>
    <x v="0"/>
    <n v="0"/>
    <x v="2"/>
    <x v="6"/>
    <x v="1"/>
    <x v="7"/>
    <s v="High Humidity"/>
    <x v="5"/>
    <n v="0.29849999999999999"/>
    <n v="0"/>
    <x v="6"/>
    <x v="5"/>
  </r>
  <r>
    <x v="30"/>
    <d v="2011-01-02T00:00:00"/>
    <x v="0"/>
    <x v="0"/>
    <x v="0"/>
    <x v="7"/>
    <x v="0"/>
    <x v="0"/>
    <n v="0"/>
    <x v="1"/>
    <x v="9"/>
    <x v="1"/>
    <x v="10"/>
    <s v="High Humidity"/>
    <x v="4"/>
    <n v="0.19400000000000001"/>
    <n v="0"/>
    <x v="4"/>
    <x v="4"/>
  </r>
  <r>
    <x v="31"/>
    <d v="2011-01-02T00:00:00"/>
    <x v="0"/>
    <x v="0"/>
    <x v="0"/>
    <x v="8"/>
    <x v="0"/>
    <x v="0"/>
    <n v="0"/>
    <x v="2"/>
    <x v="9"/>
    <x v="1"/>
    <x v="10"/>
    <s v="Low Humidity"/>
    <x v="12"/>
    <n v="0.22389999999999999"/>
    <n v="0"/>
    <x v="21"/>
    <x v="7"/>
  </r>
  <r>
    <x v="32"/>
    <d v="2011-01-02T00:00:00"/>
    <x v="0"/>
    <x v="0"/>
    <x v="0"/>
    <x v="9"/>
    <x v="0"/>
    <x v="0"/>
    <n v="0"/>
    <x v="1"/>
    <x v="4"/>
    <x v="1"/>
    <x v="3"/>
    <s v="Low Humidity"/>
    <x v="4"/>
    <n v="0.22389999999999999"/>
    <n v="1"/>
    <x v="23"/>
    <x v="25"/>
  </r>
  <r>
    <x v="33"/>
    <d v="2011-01-02T00:00:00"/>
    <x v="0"/>
    <x v="0"/>
    <x v="0"/>
    <x v="10"/>
    <x v="0"/>
    <x v="0"/>
    <n v="0"/>
    <x v="1"/>
    <x v="5"/>
    <x v="1"/>
    <x v="4"/>
    <s v="Low Humidity"/>
    <x v="0"/>
    <n v="0.22389999999999999"/>
    <n v="7"/>
    <x v="24"/>
    <x v="26"/>
  </r>
  <r>
    <x v="34"/>
    <d v="2011-01-02T00:00:00"/>
    <x v="0"/>
    <x v="0"/>
    <x v="0"/>
    <x v="11"/>
    <x v="0"/>
    <x v="0"/>
    <n v="0"/>
    <x v="1"/>
    <x v="5"/>
    <x v="1"/>
    <x v="6"/>
    <s v="Low Humidity"/>
    <x v="12"/>
    <n v="0.25369999999999998"/>
    <n v="16"/>
    <x v="25"/>
    <x v="27"/>
  </r>
  <r>
    <x v="35"/>
    <d v="2011-01-02T00:00:00"/>
    <x v="0"/>
    <x v="0"/>
    <x v="0"/>
    <x v="12"/>
    <x v="0"/>
    <x v="0"/>
    <n v="0"/>
    <x v="1"/>
    <x v="5"/>
    <x v="1"/>
    <x v="6"/>
    <s v="High Humidity"/>
    <x v="13"/>
    <n v="0.29849999999999999"/>
    <n v="20"/>
    <x v="26"/>
    <x v="15"/>
  </r>
  <r>
    <x v="36"/>
    <d v="2011-01-02T00:00:00"/>
    <x v="0"/>
    <x v="0"/>
    <x v="0"/>
    <x v="13"/>
    <x v="0"/>
    <x v="0"/>
    <n v="0"/>
    <x v="1"/>
    <x v="5"/>
    <x v="1"/>
    <x v="4"/>
    <s v="Low Humidity"/>
    <x v="13"/>
    <n v="0.1343"/>
    <n v="11"/>
    <x v="27"/>
    <x v="28"/>
  </r>
  <r>
    <x v="37"/>
    <d v="2011-01-02T00:00:00"/>
    <x v="0"/>
    <x v="0"/>
    <x v="0"/>
    <x v="14"/>
    <x v="0"/>
    <x v="0"/>
    <n v="0"/>
    <x v="2"/>
    <x v="5"/>
    <x v="1"/>
    <x v="3"/>
    <s v="Low Humidity"/>
    <x v="4"/>
    <n v="0.19400000000000001"/>
    <n v="4"/>
    <x v="11"/>
    <x v="29"/>
  </r>
  <r>
    <x v="38"/>
    <d v="2011-01-02T00:00:00"/>
    <x v="0"/>
    <x v="0"/>
    <x v="0"/>
    <x v="15"/>
    <x v="0"/>
    <x v="0"/>
    <n v="0"/>
    <x v="2"/>
    <x v="10"/>
    <x v="1"/>
    <x v="6"/>
    <s v="Low Humidity"/>
    <x v="0"/>
    <n v="0.16420000000000001"/>
    <n v="19"/>
    <x v="11"/>
    <x v="30"/>
  </r>
  <r>
    <x v="39"/>
    <d v="2011-01-02T00:00:00"/>
    <x v="0"/>
    <x v="0"/>
    <x v="0"/>
    <x v="16"/>
    <x v="0"/>
    <x v="0"/>
    <n v="0"/>
    <x v="2"/>
    <x v="10"/>
    <x v="1"/>
    <x v="6"/>
    <s v="Low Humidity"/>
    <x v="12"/>
    <n v="0.16420000000000001"/>
    <n v="9"/>
    <x v="28"/>
    <x v="31"/>
  </r>
  <r>
    <x v="40"/>
    <d v="2011-01-02T00:00:00"/>
    <x v="0"/>
    <x v="0"/>
    <x v="0"/>
    <x v="17"/>
    <x v="0"/>
    <x v="0"/>
    <n v="0"/>
    <x v="0"/>
    <x v="10"/>
    <x v="1"/>
    <x v="6"/>
    <s v="Low Humidity"/>
    <x v="14"/>
    <n v="0.19400000000000001"/>
    <n v="7"/>
    <x v="29"/>
    <x v="32"/>
  </r>
  <r>
    <x v="41"/>
    <d v="2011-01-02T00:00:00"/>
    <x v="0"/>
    <x v="0"/>
    <x v="0"/>
    <x v="18"/>
    <x v="0"/>
    <x v="0"/>
    <n v="0"/>
    <x v="1"/>
    <x v="5"/>
    <x v="1"/>
    <x v="6"/>
    <s v="Low Humidity"/>
    <x v="15"/>
    <n v="0.32840000000000003"/>
    <n v="10"/>
    <x v="30"/>
    <x v="26"/>
  </r>
  <r>
    <x v="42"/>
    <d v="2011-01-02T00:00:00"/>
    <x v="0"/>
    <x v="0"/>
    <x v="0"/>
    <x v="19"/>
    <x v="0"/>
    <x v="0"/>
    <n v="0"/>
    <x v="0"/>
    <x v="3"/>
    <x v="1"/>
    <x v="0"/>
    <s v="Low Humidity"/>
    <x v="16"/>
    <n v="0.44779999999999998"/>
    <n v="1"/>
    <x v="31"/>
    <x v="33"/>
  </r>
  <r>
    <x v="43"/>
    <d v="2011-01-02T00:00:00"/>
    <x v="0"/>
    <x v="0"/>
    <x v="0"/>
    <x v="20"/>
    <x v="0"/>
    <x v="0"/>
    <n v="0"/>
    <x v="0"/>
    <x v="11"/>
    <x v="1"/>
    <x v="3"/>
    <s v="Low Humidity"/>
    <x v="17"/>
    <n v="0.35820000000000002"/>
    <n v="5"/>
    <x v="19"/>
    <x v="34"/>
  </r>
  <r>
    <x v="44"/>
    <d v="2011-01-02T00:00:00"/>
    <x v="0"/>
    <x v="0"/>
    <x v="0"/>
    <x v="21"/>
    <x v="0"/>
    <x v="0"/>
    <n v="0"/>
    <x v="0"/>
    <x v="12"/>
    <x v="1"/>
    <x v="11"/>
    <s v="Low Humidity"/>
    <x v="18"/>
    <n v="0.32840000000000003"/>
    <n v="11"/>
    <x v="32"/>
    <x v="35"/>
  </r>
  <r>
    <x v="45"/>
    <d v="2011-01-02T00:00:00"/>
    <x v="0"/>
    <x v="0"/>
    <x v="0"/>
    <x v="22"/>
    <x v="0"/>
    <x v="0"/>
    <n v="0"/>
    <x v="0"/>
    <x v="0"/>
    <x v="1"/>
    <x v="12"/>
    <s v="Low Humidity"/>
    <x v="18"/>
    <n v="0.29849999999999999"/>
    <n v="0"/>
    <x v="33"/>
    <x v="23"/>
  </r>
  <r>
    <x v="46"/>
    <d v="2011-01-02T00:00:00"/>
    <x v="0"/>
    <x v="0"/>
    <x v="0"/>
    <x v="23"/>
    <x v="0"/>
    <x v="0"/>
    <n v="0"/>
    <x v="0"/>
    <x v="1"/>
    <x v="0"/>
    <x v="11"/>
    <s v="High Humidity"/>
    <x v="19"/>
    <n v="0.16420000000000001"/>
    <n v="0"/>
    <x v="21"/>
    <x v="7"/>
  </r>
  <r>
    <x v="47"/>
    <d v="2011-01-03T00:00:00"/>
    <x v="0"/>
    <x v="0"/>
    <x v="0"/>
    <x v="0"/>
    <x v="0"/>
    <x v="0"/>
    <n v="1"/>
    <x v="0"/>
    <x v="1"/>
    <x v="0"/>
    <x v="13"/>
    <s v="High Humidity"/>
    <x v="18"/>
    <n v="0.35820000000000002"/>
    <n v="0"/>
    <x v="34"/>
    <x v="36"/>
  </r>
  <r>
    <x v="48"/>
    <d v="2011-01-03T00:00:00"/>
    <x v="0"/>
    <x v="0"/>
    <x v="0"/>
    <x v="1"/>
    <x v="0"/>
    <x v="0"/>
    <n v="1"/>
    <x v="0"/>
    <x v="2"/>
    <x v="0"/>
    <x v="3"/>
    <s v="Low Humidity"/>
    <x v="18"/>
    <n v="0.41789999999999999"/>
    <n v="0"/>
    <x v="6"/>
    <x v="5"/>
  </r>
  <r>
    <x v="49"/>
    <d v="2011-01-03T00:00:00"/>
    <x v="0"/>
    <x v="0"/>
    <x v="0"/>
    <x v="4"/>
    <x v="0"/>
    <x v="0"/>
    <n v="1"/>
    <x v="0"/>
    <x v="13"/>
    <x v="0"/>
    <x v="14"/>
    <s v="Low Humidity"/>
    <x v="19"/>
    <n v="0.3881"/>
    <n v="0"/>
    <x v="4"/>
    <x v="4"/>
  </r>
  <r>
    <x v="50"/>
    <d v="2011-01-03T00:00:00"/>
    <x v="0"/>
    <x v="0"/>
    <x v="0"/>
    <x v="5"/>
    <x v="0"/>
    <x v="0"/>
    <n v="1"/>
    <x v="0"/>
    <x v="13"/>
    <x v="0"/>
    <x v="14"/>
    <s v="Low Humidity"/>
    <x v="19"/>
    <n v="0.28360000000000002"/>
    <n v="0"/>
    <x v="35"/>
    <x v="6"/>
  </r>
  <r>
    <x v="51"/>
    <d v="2011-01-03T00:00:00"/>
    <x v="0"/>
    <x v="0"/>
    <x v="0"/>
    <x v="6"/>
    <x v="0"/>
    <x v="0"/>
    <n v="1"/>
    <x v="0"/>
    <x v="14"/>
    <x v="1"/>
    <x v="15"/>
    <s v="Low Humidity"/>
    <x v="20"/>
    <n v="0.3881"/>
    <n v="0"/>
    <x v="10"/>
    <x v="33"/>
  </r>
  <r>
    <x v="52"/>
    <d v="2011-01-03T00:00:00"/>
    <x v="0"/>
    <x v="0"/>
    <x v="0"/>
    <x v="7"/>
    <x v="0"/>
    <x v="0"/>
    <n v="1"/>
    <x v="0"/>
    <x v="14"/>
    <x v="1"/>
    <x v="14"/>
    <s v="Low Humidity"/>
    <x v="20"/>
    <n v="0.19400000000000001"/>
    <n v="1"/>
    <x v="36"/>
    <x v="37"/>
  </r>
  <r>
    <x v="53"/>
    <d v="2011-01-03T00:00:00"/>
    <x v="0"/>
    <x v="0"/>
    <x v="0"/>
    <x v="8"/>
    <x v="0"/>
    <x v="0"/>
    <n v="1"/>
    <x v="0"/>
    <x v="14"/>
    <x v="1"/>
    <x v="16"/>
    <s v="Low Humidity"/>
    <x v="20"/>
    <n v="0.28360000000000002"/>
    <n v="1"/>
    <x v="37"/>
    <x v="38"/>
  </r>
  <r>
    <x v="54"/>
    <d v="2011-01-03T00:00:00"/>
    <x v="0"/>
    <x v="0"/>
    <x v="0"/>
    <x v="9"/>
    <x v="0"/>
    <x v="0"/>
    <n v="1"/>
    <x v="0"/>
    <x v="13"/>
    <x v="1"/>
    <x v="14"/>
    <s v="Low Humidity"/>
    <x v="21"/>
    <n v="0.3881"/>
    <n v="7"/>
    <x v="38"/>
    <x v="39"/>
  </r>
  <r>
    <x v="55"/>
    <d v="2011-01-03T00:00:00"/>
    <x v="0"/>
    <x v="0"/>
    <x v="0"/>
    <x v="10"/>
    <x v="0"/>
    <x v="0"/>
    <n v="1"/>
    <x v="0"/>
    <x v="15"/>
    <x v="1"/>
    <x v="17"/>
    <s v="Low Humidity"/>
    <x v="21"/>
    <n v="0.25369999999999998"/>
    <n v="11"/>
    <x v="39"/>
    <x v="40"/>
  </r>
  <r>
    <x v="56"/>
    <d v="2011-01-03T00:00:00"/>
    <x v="0"/>
    <x v="0"/>
    <x v="0"/>
    <x v="11"/>
    <x v="0"/>
    <x v="0"/>
    <n v="1"/>
    <x v="0"/>
    <x v="2"/>
    <x v="1"/>
    <x v="18"/>
    <s v="Low Humidity"/>
    <x v="22"/>
    <n v="0.32840000000000003"/>
    <n v="10"/>
    <x v="40"/>
    <x v="41"/>
  </r>
  <r>
    <x v="57"/>
    <d v="2011-01-03T00:00:00"/>
    <x v="0"/>
    <x v="0"/>
    <x v="0"/>
    <x v="12"/>
    <x v="0"/>
    <x v="0"/>
    <n v="1"/>
    <x v="0"/>
    <x v="1"/>
    <x v="1"/>
    <x v="12"/>
    <s v="Low Humidity"/>
    <x v="23"/>
    <n v="0.29849999999999999"/>
    <n v="13"/>
    <x v="41"/>
    <x v="42"/>
  </r>
  <r>
    <x v="58"/>
    <d v="2011-01-03T00:00:00"/>
    <x v="0"/>
    <x v="0"/>
    <x v="0"/>
    <x v="13"/>
    <x v="0"/>
    <x v="0"/>
    <n v="1"/>
    <x v="0"/>
    <x v="0"/>
    <x v="1"/>
    <x v="3"/>
    <s v="Low Humidity"/>
    <x v="23"/>
    <n v="0.28360000000000002"/>
    <n v="8"/>
    <x v="42"/>
    <x v="42"/>
  </r>
  <r>
    <x v="59"/>
    <d v="2011-01-03T00:00:00"/>
    <x v="0"/>
    <x v="0"/>
    <x v="0"/>
    <x v="14"/>
    <x v="0"/>
    <x v="0"/>
    <n v="1"/>
    <x v="0"/>
    <x v="12"/>
    <x v="1"/>
    <x v="19"/>
    <s v="Low Humidity"/>
    <x v="24"/>
    <n v="0.28360000000000002"/>
    <n v="11"/>
    <x v="43"/>
    <x v="43"/>
  </r>
  <r>
    <x v="60"/>
    <d v="2011-01-03T00:00:00"/>
    <x v="0"/>
    <x v="0"/>
    <x v="0"/>
    <x v="15"/>
    <x v="0"/>
    <x v="0"/>
    <n v="1"/>
    <x v="0"/>
    <x v="12"/>
    <x v="1"/>
    <x v="19"/>
    <s v="Low Humidity"/>
    <x v="24"/>
    <n v="0.25369999999999998"/>
    <n v="14"/>
    <x v="29"/>
    <x v="44"/>
  </r>
  <r>
    <x v="61"/>
    <d v="2011-01-03T00:00:00"/>
    <x v="0"/>
    <x v="0"/>
    <x v="0"/>
    <x v="16"/>
    <x v="0"/>
    <x v="0"/>
    <n v="1"/>
    <x v="0"/>
    <x v="12"/>
    <x v="1"/>
    <x v="19"/>
    <s v="High Humidity"/>
    <x v="24"/>
    <n v="0.25369999999999998"/>
    <n v="9"/>
    <x v="28"/>
    <x v="31"/>
  </r>
  <r>
    <x v="62"/>
    <d v="2011-01-03T00:00:00"/>
    <x v="0"/>
    <x v="0"/>
    <x v="0"/>
    <x v="17"/>
    <x v="0"/>
    <x v="0"/>
    <n v="1"/>
    <x v="0"/>
    <x v="0"/>
    <x v="0"/>
    <x v="11"/>
    <s v="High Humidity"/>
    <x v="24"/>
    <n v="0.22389999999999999"/>
    <n v="11"/>
    <x v="44"/>
    <x v="45"/>
  </r>
  <r>
    <x v="63"/>
    <d v="2011-01-03T00:00:00"/>
    <x v="0"/>
    <x v="0"/>
    <x v="0"/>
    <x v="18"/>
    <x v="0"/>
    <x v="0"/>
    <n v="1"/>
    <x v="0"/>
    <x v="0"/>
    <x v="0"/>
    <x v="2"/>
    <s v="High Humidity"/>
    <x v="25"/>
    <n v="0.1045"/>
    <n v="9"/>
    <x v="45"/>
    <x v="45"/>
  </r>
  <r>
    <x v="64"/>
    <d v="2011-01-03T00:00:00"/>
    <x v="0"/>
    <x v="0"/>
    <x v="0"/>
    <x v="19"/>
    <x v="0"/>
    <x v="0"/>
    <n v="1"/>
    <x v="0"/>
    <x v="2"/>
    <x v="0"/>
    <x v="2"/>
    <s v="High Humidity"/>
    <x v="19"/>
    <n v="0"/>
    <n v="8"/>
    <x v="46"/>
    <x v="14"/>
  </r>
  <r>
    <x v="65"/>
    <d v="2011-01-03T00:00:00"/>
    <x v="0"/>
    <x v="0"/>
    <x v="0"/>
    <x v="20"/>
    <x v="0"/>
    <x v="0"/>
    <n v="1"/>
    <x v="0"/>
    <x v="2"/>
    <x v="0"/>
    <x v="3"/>
    <s v="High Humidity"/>
    <x v="19"/>
    <n v="0.1045"/>
    <n v="3"/>
    <x v="47"/>
    <x v="46"/>
  </r>
  <r>
    <x v="66"/>
    <d v="2011-01-03T00:00:00"/>
    <x v="0"/>
    <x v="0"/>
    <x v="0"/>
    <x v="21"/>
    <x v="0"/>
    <x v="0"/>
    <n v="1"/>
    <x v="0"/>
    <x v="15"/>
    <x v="0"/>
    <x v="13"/>
    <s v="High Humidity"/>
    <x v="26"/>
    <n v="0.1343"/>
    <n v="3"/>
    <x v="47"/>
    <x v="46"/>
  </r>
  <r>
    <x v="67"/>
    <d v="2011-01-03T00:00:00"/>
    <x v="0"/>
    <x v="0"/>
    <x v="0"/>
    <x v="22"/>
    <x v="0"/>
    <x v="0"/>
    <n v="1"/>
    <x v="0"/>
    <x v="14"/>
    <x v="0"/>
    <x v="20"/>
    <s v="High Humidity"/>
    <x v="27"/>
    <n v="0.1343"/>
    <n v="0"/>
    <x v="32"/>
    <x v="25"/>
  </r>
  <r>
    <x v="68"/>
    <d v="2011-01-03T00:00:00"/>
    <x v="0"/>
    <x v="0"/>
    <x v="0"/>
    <x v="23"/>
    <x v="0"/>
    <x v="0"/>
    <n v="1"/>
    <x v="0"/>
    <x v="15"/>
    <x v="0"/>
    <x v="12"/>
    <s v="High Humidity"/>
    <x v="28"/>
    <n v="0.1045"/>
    <n v="1"/>
    <x v="48"/>
    <x v="47"/>
  </r>
  <r>
    <x v="69"/>
    <d v="2011-01-04T00:00:00"/>
    <x v="0"/>
    <x v="0"/>
    <x v="0"/>
    <x v="0"/>
    <x v="0"/>
    <x v="0"/>
    <n v="2"/>
    <x v="0"/>
    <x v="13"/>
    <x v="0"/>
    <x v="3"/>
    <s v="High Humidity"/>
    <x v="28"/>
    <n v="0.1045"/>
    <n v="0"/>
    <x v="34"/>
    <x v="36"/>
  </r>
  <r>
    <x v="70"/>
    <d v="2011-01-04T00:00:00"/>
    <x v="0"/>
    <x v="0"/>
    <x v="0"/>
    <x v="1"/>
    <x v="0"/>
    <x v="0"/>
    <n v="2"/>
    <x v="0"/>
    <x v="13"/>
    <x v="0"/>
    <x v="18"/>
    <s v="High Humidity"/>
    <x v="29"/>
    <n v="0.1045"/>
    <n v="0"/>
    <x v="6"/>
    <x v="5"/>
  </r>
  <r>
    <x v="71"/>
    <d v="2011-01-04T00:00:00"/>
    <x v="0"/>
    <x v="0"/>
    <x v="0"/>
    <x v="2"/>
    <x v="0"/>
    <x v="0"/>
    <n v="2"/>
    <x v="0"/>
    <x v="14"/>
    <x v="0"/>
    <x v="20"/>
    <s v="Low Humidity"/>
    <x v="30"/>
    <n v="0.1343"/>
    <n v="0"/>
    <x v="4"/>
    <x v="4"/>
  </r>
  <r>
    <x v="72"/>
    <d v="2011-01-04T00:00:00"/>
    <x v="0"/>
    <x v="0"/>
    <x v="0"/>
    <x v="4"/>
    <x v="0"/>
    <x v="0"/>
    <n v="2"/>
    <x v="0"/>
    <x v="14"/>
    <x v="0"/>
    <x v="18"/>
    <s v="Low Humidity"/>
    <x v="30"/>
    <n v="8.9599999999999999E-2"/>
    <n v="0"/>
    <x v="6"/>
    <x v="5"/>
  </r>
  <r>
    <x v="73"/>
    <d v="2011-01-04T00:00:00"/>
    <x v="0"/>
    <x v="0"/>
    <x v="0"/>
    <x v="5"/>
    <x v="0"/>
    <x v="0"/>
    <n v="2"/>
    <x v="0"/>
    <x v="16"/>
    <x v="0"/>
    <x v="20"/>
    <s v="Low Humidity"/>
    <x v="31"/>
    <n v="0.1045"/>
    <n v="0"/>
    <x v="22"/>
    <x v="48"/>
  </r>
  <r>
    <x v="74"/>
    <d v="2011-01-04T00:00:00"/>
    <x v="0"/>
    <x v="0"/>
    <x v="0"/>
    <x v="6"/>
    <x v="0"/>
    <x v="0"/>
    <n v="2"/>
    <x v="0"/>
    <x v="16"/>
    <x v="0"/>
    <x v="20"/>
    <s v="Low Humidity"/>
    <x v="32"/>
    <n v="0.1045"/>
    <n v="0"/>
    <x v="49"/>
    <x v="9"/>
  </r>
  <r>
    <x v="75"/>
    <d v="2011-01-04T00:00:00"/>
    <x v="0"/>
    <x v="0"/>
    <x v="0"/>
    <x v="7"/>
    <x v="0"/>
    <x v="0"/>
    <n v="2"/>
    <x v="0"/>
    <x v="16"/>
    <x v="0"/>
    <x v="20"/>
    <s v="Low Humidity"/>
    <x v="32"/>
    <n v="0.1343"/>
    <n v="2"/>
    <x v="50"/>
    <x v="12"/>
  </r>
  <r>
    <x v="76"/>
    <d v="2011-01-04T00:00:00"/>
    <x v="0"/>
    <x v="0"/>
    <x v="0"/>
    <x v="8"/>
    <x v="0"/>
    <x v="0"/>
    <n v="2"/>
    <x v="0"/>
    <x v="14"/>
    <x v="0"/>
    <x v="20"/>
    <s v="Low Humidity"/>
    <x v="27"/>
    <n v="0.16420000000000001"/>
    <n v="2"/>
    <x v="51"/>
    <x v="49"/>
  </r>
  <r>
    <x v="77"/>
    <d v="2011-01-04T00:00:00"/>
    <x v="0"/>
    <x v="0"/>
    <x v="0"/>
    <x v="9"/>
    <x v="0"/>
    <x v="0"/>
    <n v="2"/>
    <x v="0"/>
    <x v="13"/>
    <x v="0"/>
    <x v="20"/>
    <s v="Low Humidity"/>
    <x v="26"/>
    <n v="0.22389999999999999"/>
    <n v="2"/>
    <x v="52"/>
    <x v="50"/>
  </r>
  <r>
    <x v="78"/>
    <d v="2011-01-04T00:00:00"/>
    <x v="0"/>
    <x v="0"/>
    <x v="0"/>
    <x v="10"/>
    <x v="0"/>
    <x v="0"/>
    <n v="2"/>
    <x v="1"/>
    <x v="13"/>
    <x v="0"/>
    <x v="14"/>
    <s v="Low Humidity"/>
    <x v="27"/>
    <n v="0.32840000000000003"/>
    <n v="5"/>
    <x v="53"/>
    <x v="51"/>
  </r>
  <r>
    <x v="79"/>
    <d v="2011-01-04T00:00:00"/>
    <x v="0"/>
    <x v="0"/>
    <x v="0"/>
    <x v="11"/>
    <x v="0"/>
    <x v="0"/>
    <n v="2"/>
    <x v="0"/>
    <x v="1"/>
    <x v="0"/>
    <x v="12"/>
    <s v="Low Humidity"/>
    <x v="33"/>
    <n v="0.29849999999999999"/>
    <n v="7"/>
    <x v="54"/>
    <x v="52"/>
  </r>
  <r>
    <x v="80"/>
    <d v="2011-01-04T00:00:00"/>
    <x v="0"/>
    <x v="0"/>
    <x v="0"/>
    <x v="12"/>
    <x v="0"/>
    <x v="0"/>
    <n v="2"/>
    <x v="0"/>
    <x v="1"/>
    <x v="0"/>
    <x v="11"/>
    <s v="Low Humidity"/>
    <x v="33"/>
    <n v="0.16420000000000001"/>
    <n v="12"/>
    <x v="43"/>
    <x v="53"/>
  </r>
  <r>
    <x v="81"/>
    <d v="2011-01-04T00:00:00"/>
    <x v="0"/>
    <x v="0"/>
    <x v="0"/>
    <x v="13"/>
    <x v="0"/>
    <x v="0"/>
    <n v="2"/>
    <x v="0"/>
    <x v="0"/>
    <x v="0"/>
    <x v="11"/>
    <s v="Low Humidity"/>
    <x v="34"/>
    <n v="0.19400000000000001"/>
    <n v="18"/>
    <x v="55"/>
    <x v="54"/>
  </r>
  <r>
    <x v="82"/>
    <d v="2011-01-04T00:00:00"/>
    <x v="0"/>
    <x v="0"/>
    <x v="0"/>
    <x v="14"/>
    <x v="0"/>
    <x v="0"/>
    <n v="2"/>
    <x v="0"/>
    <x v="12"/>
    <x v="0"/>
    <x v="2"/>
    <s v="Low Humidity"/>
    <x v="35"/>
    <n v="0.22389999999999999"/>
    <n v="9"/>
    <x v="25"/>
    <x v="55"/>
  </r>
  <r>
    <x v="83"/>
    <d v="2011-01-04T00:00:00"/>
    <x v="0"/>
    <x v="0"/>
    <x v="0"/>
    <x v="15"/>
    <x v="0"/>
    <x v="0"/>
    <n v="2"/>
    <x v="0"/>
    <x v="17"/>
    <x v="0"/>
    <x v="1"/>
    <s v="Low Humidity"/>
    <x v="35"/>
    <n v="0.25369999999999998"/>
    <n v="17"/>
    <x v="41"/>
    <x v="32"/>
  </r>
  <r>
    <x v="84"/>
    <d v="2011-01-04T00:00:00"/>
    <x v="0"/>
    <x v="0"/>
    <x v="0"/>
    <x v="16"/>
    <x v="0"/>
    <x v="0"/>
    <n v="2"/>
    <x v="0"/>
    <x v="11"/>
    <x v="0"/>
    <x v="0"/>
    <s v="Low Humidity"/>
    <x v="36"/>
    <n v="0.25369999999999998"/>
    <n v="15"/>
    <x v="56"/>
    <x v="56"/>
  </r>
  <r>
    <x v="85"/>
    <d v="2011-01-04T00:00:00"/>
    <x v="0"/>
    <x v="0"/>
    <x v="0"/>
    <x v="17"/>
    <x v="0"/>
    <x v="0"/>
    <n v="2"/>
    <x v="0"/>
    <x v="17"/>
    <x v="0"/>
    <x v="1"/>
    <s v="Low Humidity"/>
    <x v="37"/>
    <n v="0.22389999999999999"/>
    <n v="10"/>
    <x v="57"/>
    <x v="57"/>
  </r>
  <r>
    <x v="86"/>
    <d v="2011-01-04T00:00:00"/>
    <x v="0"/>
    <x v="0"/>
    <x v="0"/>
    <x v="18"/>
    <x v="0"/>
    <x v="0"/>
    <n v="2"/>
    <x v="0"/>
    <x v="12"/>
    <x v="0"/>
    <x v="2"/>
    <s v="Low Humidity"/>
    <x v="37"/>
    <n v="0.19400000000000001"/>
    <n v="3"/>
    <x v="58"/>
    <x v="58"/>
  </r>
  <r>
    <x v="87"/>
    <d v="2011-01-04T00:00:00"/>
    <x v="0"/>
    <x v="0"/>
    <x v="0"/>
    <x v="19"/>
    <x v="0"/>
    <x v="0"/>
    <n v="2"/>
    <x v="0"/>
    <x v="0"/>
    <x v="0"/>
    <x v="2"/>
    <s v="Low Humidity"/>
    <x v="37"/>
    <n v="0.1045"/>
    <n v="2"/>
    <x v="59"/>
    <x v="59"/>
  </r>
  <r>
    <x v="88"/>
    <d v="2011-01-04T00:00:00"/>
    <x v="0"/>
    <x v="0"/>
    <x v="0"/>
    <x v="20"/>
    <x v="0"/>
    <x v="0"/>
    <n v="2"/>
    <x v="0"/>
    <x v="0"/>
    <x v="0"/>
    <x v="2"/>
    <s v="Low Humidity"/>
    <x v="37"/>
    <n v="0.1045"/>
    <n v="1"/>
    <x v="42"/>
    <x v="60"/>
  </r>
  <r>
    <x v="89"/>
    <d v="2011-01-04T00:00:00"/>
    <x v="0"/>
    <x v="0"/>
    <x v="0"/>
    <x v="21"/>
    <x v="0"/>
    <x v="0"/>
    <n v="2"/>
    <x v="0"/>
    <x v="1"/>
    <x v="0"/>
    <x v="1"/>
    <s v="Low Humidity"/>
    <x v="26"/>
    <n v="0"/>
    <n v="0"/>
    <x v="41"/>
    <x v="61"/>
  </r>
  <r>
    <x v="90"/>
    <d v="2011-01-04T00:00:00"/>
    <x v="0"/>
    <x v="0"/>
    <x v="0"/>
    <x v="22"/>
    <x v="0"/>
    <x v="0"/>
    <n v="2"/>
    <x v="0"/>
    <x v="1"/>
    <x v="0"/>
    <x v="2"/>
    <s v="Low Humidity"/>
    <x v="26"/>
    <n v="8.9599999999999999E-2"/>
    <n v="1"/>
    <x v="60"/>
    <x v="17"/>
  </r>
  <r>
    <x v="91"/>
    <d v="2011-01-04T00:00:00"/>
    <x v="0"/>
    <x v="0"/>
    <x v="0"/>
    <x v="23"/>
    <x v="0"/>
    <x v="0"/>
    <n v="2"/>
    <x v="0"/>
    <x v="2"/>
    <x v="0"/>
    <x v="11"/>
    <s v="Low Humidity"/>
    <x v="27"/>
    <n v="8.9599999999999999E-2"/>
    <n v="2"/>
    <x v="33"/>
    <x v="62"/>
  </r>
  <r>
    <x v="92"/>
    <d v="2011-01-05T00:00:00"/>
    <x v="0"/>
    <x v="0"/>
    <x v="0"/>
    <x v="0"/>
    <x v="0"/>
    <x v="0"/>
    <n v="3"/>
    <x v="0"/>
    <x v="2"/>
    <x v="0"/>
    <x v="2"/>
    <s v="Low Humidity"/>
    <x v="26"/>
    <n v="0"/>
    <n v="0"/>
    <x v="8"/>
    <x v="24"/>
  </r>
  <r>
    <x v="93"/>
    <d v="2011-01-05T00:00:00"/>
    <x v="0"/>
    <x v="0"/>
    <x v="0"/>
    <x v="1"/>
    <x v="0"/>
    <x v="0"/>
    <n v="3"/>
    <x v="0"/>
    <x v="13"/>
    <x v="0"/>
    <x v="13"/>
    <s v="Low Humidity"/>
    <x v="32"/>
    <n v="8.9599999999999999E-2"/>
    <n v="0"/>
    <x v="8"/>
    <x v="24"/>
  </r>
  <r>
    <x v="94"/>
    <d v="2011-01-05T00:00:00"/>
    <x v="0"/>
    <x v="0"/>
    <x v="0"/>
    <x v="2"/>
    <x v="0"/>
    <x v="0"/>
    <n v="3"/>
    <x v="0"/>
    <x v="13"/>
    <x v="0"/>
    <x v="13"/>
    <s v="Low Humidity"/>
    <x v="32"/>
    <n v="8.9599999999999999E-2"/>
    <n v="0"/>
    <x v="6"/>
    <x v="5"/>
  </r>
  <r>
    <x v="95"/>
    <d v="2011-01-05T00:00:00"/>
    <x v="0"/>
    <x v="0"/>
    <x v="0"/>
    <x v="4"/>
    <x v="0"/>
    <x v="0"/>
    <n v="3"/>
    <x v="0"/>
    <x v="0"/>
    <x v="0"/>
    <x v="11"/>
    <s v="Low Humidity"/>
    <x v="37"/>
    <n v="0.22389999999999999"/>
    <n v="0"/>
    <x v="6"/>
    <x v="5"/>
  </r>
  <r>
    <x v="96"/>
    <d v="2011-01-05T00:00:00"/>
    <x v="0"/>
    <x v="0"/>
    <x v="0"/>
    <x v="5"/>
    <x v="0"/>
    <x v="0"/>
    <n v="3"/>
    <x v="0"/>
    <x v="1"/>
    <x v="0"/>
    <x v="11"/>
    <s v="Low Humidity"/>
    <x v="19"/>
    <n v="0.16420000000000001"/>
    <n v="0"/>
    <x v="35"/>
    <x v="6"/>
  </r>
  <r>
    <x v="97"/>
    <d v="2011-01-05T00:00:00"/>
    <x v="0"/>
    <x v="0"/>
    <x v="0"/>
    <x v="6"/>
    <x v="0"/>
    <x v="0"/>
    <n v="3"/>
    <x v="0"/>
    <x v="2"/>
    <x v="0"/>
    <x v="13"/>
    <s v="Low Humidity"/>
    <x v="19"/>
    <n v="0.22389999999999999"/>
    <n v="0"/>
    <x v="39"/>
    <x v="63"/>
  </r>
  <r>
    <x v="98"/>
    <d v="2011-01-05T00:00:00"/>
    <x v="0"/>
    <x v="0"/>
    <x v="0"/>
    <x v="7"/>
    <x v="0"/>
    <x v="0"/>
    <n v="3"/>
    <x v="0"/>
    <x v="15"/>
    <x v="0"/>
    <x v="18"/>
    <s v="Low Humidity"/>
    <x v="21"/>
    <n v="0.19400000000000001"/>
    <n v="1"/>
    <x v="61"/>
    <x v="39"/>
  </r>
  <r>
    <x v="99"/>
    <d v="2011-01-05T00:00:00"/>
    <x v="0"/>
    <x v="0"/>
    <x v="0"/>
    <x v="8"/>
    <x v="0"/>
    <x v="0"/>
    <n v="3"/>
    <x v="0"/>
    <x v="2"/>
    <x v="0"/>
    <x v="18"/>
    <s v="Low Humidity"/>
    <x v="22"/>
    <n v="0.29849999999999999"/>
    <n v="3"/>
    <x v="62"/>
    <x v="64"/>
  </r>
  <r>
    <x v="100"/>
    <d v="2011-01-05T00:00:00"/>
    <x v="0"/>
    <x v="0"/>
    <x v="0"/>
    <x v="9"/>
    <x v="0"/>
    <x v="0"/>
    <n v="3"/>
    <x v="0"/>
    <x v="1"/>
    <x v="0"/>
    <x v="13"/>
    <s v="Low Humidity"/>
    <x v="38"/>
    <n v="0.32840000000000003"/>
    <n v="6"/>
    <x v="63"/>
    <x v="65"/>
  </r>
  <r>
    <x v="101"/>
    <d v="2011-01-05T00:00:00"/>
    <x v="0"/>
    <x v="0"/>
    <x v="0"/>
    <x v="10"/>
    <x v="0"/>
    <x v="0"/>
    <n v="3"/>
    <x v="0"/>
    <x v="1"/>
    <x v="0"/>
    <x v="13"/>
    <s v="Low Humidity"/>
    <x v="38"/>
    <n v="0.32840000000000003"/>
    <n v="4"/>
    <x v="42"/>
    <x v="52"/>
  </r>
  <r>
    <x v="102"/>
    <d v="2011-01-05T00:00:00"/>
    <x v="0"/>
    <x v="0"/>
    <x v="0"/>
    <x v="11"/>
    <x v="0"/>
    <x v="0"/>
    <n v="3"/>
    <x v="0"/>
    <x v="12"/>
    <x v="0"/>
    <x v="11"/>
    <s v="Low Humidity"/>
    <x v="39"/>
    <n v="0.32840000000000003"/>
    <n v="12"/>
    <x v="60"/>
    <x v="66"/>
  </r>
  <r>
    <x v="103"/>
    <d v="2011-01-05T00:00:00"/>
    <x v="0"/>
    <x v="0"/>
    <x v="0"/>
    <x v="12"/>
    <x v="0"/>
    <x v="0"/>
    <n v="3"/>
    <x v="0"/>
    <x v="12"/>
    <x v="0"/>
    <x v="11"/>
    <s v="Low Humidity"/>
    <x v="39"/>
    <n v="0.32840000000000003"/>
    <n v="5"/>
    <x v="64"/>
    <x v="67"/>
  </r>
  <r>
    <x v="104"/>
    <d v="2011-01-05T00:00:00"/>
    <x v="0"/>
    <x v="0"/>
    <x v="0"/>
    <x v="13"/>
    <x v="0"/>
    <x v="0"/>
    <n v="3"/>
    <x v="0"/>
    <x v="17"/>
    <x v="0"/>
    <x v="2"/>
    <s v="Low Humidity"/>
    <x v="24"/>
    <n v="0.29849999999999999"/>
    <n v="6"/>
    <x v="65"/>
    <x v="68"/>
  </r>
  <r>
    <x v="105"/>
    <d v="2011-01-05T00:00:00"/>
    <x v="0"/>
    <x v="0"/>
    <x v="0"/>
    <x v="14"/>
    <x v="0"/>
    <x v="0"/>
    <n v="3"/>
    <x v="0"/>
    <x v="11"/>
    <x v="0"/>
    <x v="0"/>
    <s v="Low Humidity"/>
    <x v="40"/>
    <n v="0.19400000000000001"/>
    <n v="10"/>
    <x v="15"/>
    <x v="69"/>
  </r>
  <r>
    <x v="106"/>
    <d v="2011-01-05T00:00:00"/>
    <x v="0"/>
    <x v="0"/>
    <x v="0"/>
    <x v="15"/>
    <x v="0"/>
    <x v="0"/>
    <n v="3"/>
    <x v="0"/>
    <x v="11"/>
    <x v="0"/>
    <x v="0"/>
    <s v="Low Humidity"/>
    <x v="40"/>
    <n v="0.19400000000000001"/>
    <n v="7"/>
    <x v="11"/>
    <x v="69"/>
  </r>
  <r>
    <x v="107"/>
    <d v="2011-01-05T00:00:00"/>
    <x v="0"/>
    <x v="0"/>
    <x v="0"/>
    <x v="16"/>
    <x v="0"/>
    <x v="0"/>
    <n v="3"/>
    <x v="0"/>
    <x v="11"/>
    <x v="0"/>
    <x v="21"/>
    <s v="Low Humidity"/>
    <x v="40"/>
    <n v="8.9599999999999999E-2"/>
    <n v="4"/>
    <x v="66"/>
    <x v="70"/>
  </r>
  <r>
    <x v="108"/>
    <d v="2011-01-05T00:00:00"/>
    <x v="0"/>
    <x v="0"/>
    <x v="0"/>
    <x v="17"/>
    <x v="0"/>
    <x v="0"/>
    <n v="3"/>
    <x v="0"/>
    <x v="0"/>
    <x v="0"/>
    <x v="11"/>
    <s v="Low Humidity"/>
    <x v="41"/>
    <n v="0.19400000000000001"/>
    <n v="4"/>
    <x v="67"/>
    <x v="71"/>
  </r>
  <r>
    <x v="109"/>
    <d v="2011-01-05T00:00:00"/>
    <x v="0"/>
    <x v="0"/>
    <x v="0"/>
    <x v="18"/>
    <x v="0"/>
    <x v="0"/>
    <n v="3"/>
    <x v="0"/>
    <x v="0"/>
    <x v="0"/>
    <x v="19"/>
    <s v="Low Humidity"/>
    <x v="41"/>
    <n v="0.1343"/>
    <n v="3"/>
    <x v="68"/>
    <x v="72"/>
  </r>
  <r>
    <x v="110"/>
    <d v="2011-01-05T00:00:00"/>
    <x v="0"/>
    <x v="0"/>
    <x v="0"/>
    <x v="19"/>
    <x v="0"/>
    <x v="0"/>
    <n v="3"/>
    <x v="0"/>
    <x v="0"/>
    <x v="0"/>
    <x v="2"/>
    <s v="Low Humidity"/>
    <x v="41"/>
    <n v="0.1045"/>
    <n v="5"/>
    <x v="69"/>
    <x v="73"/>
  </r>
  <r>
    <x v="111"/>
    <d v="2011-01-05T00:00:00"/>
    <x v="0"/>
    <x v="0"/>
    <x v="0"/>
    <x v="20"/>
    <x v="0"/>
    <x v="0"/>
    <n v="3"/>
    <x v="0"/>
    <x v="1"/>
    <x v="0"/>
    <x v="11"/>
    <s v="Low Humidity"/>
    <x v="19"/>
    <n v="0.16420000000000001"/>
    <n v="7"/>
    <x v="70"/>
    <x v="70"/>
  </r>
  <r>
    <x v="112"/>
    <d v="2011-01-05T00:00:00"/>
    <x v="0"/>
    <x v="0"/>
    <x v="0"/>
    <x v="21"/>
    <x v="0"/>
    <x v="0"/>
    <n v="3"/>
    <x v="0"/>
    <x v="2"/>
    <x v="0"/>
    <x v="13"/>
    <s v="Low Humidity"/>
    <x v="33"/>
    <n v="0.19400000000000001"/>
    <n v="3"/>
    <x v="71"/>
    <x v="74"/>
  </r>
  <r>
    <x v="113"/>
    <d v="2011-01-05T00:00:00"/>
    <x v="0"/>
    <x v="0"/>
    <x v="0"/>
    <x v="22"/>
    <x v="0"/>
    <x v="0"/>
    <n v="3"/>
    <x v="0"/>
    <x v="15"/>
    <x v="0"/>
    <x v="13"/>
    <s v="Low Humidity"/>
    <x v="28"/>
    <n v="0.1343"/>
    <n v="1"/>
    <x v="40"/>
    <x v="51"/>
  </r>
  <r>
    <x v="114"/>
    <d v="2011-01-05T00:00:00"/>
    <x v="0"/>
    <x v="0"/>
    <x v="0"/>
    <x v="23"/>
    <x v="0"/>
    <x v="0"/>
    <n v="3"/>
    <x v="0"/>
    <x v="2"/>
    <x v="0"/>
    <x v="2"/>
    <s v="High Humidity"/>
    <x v="19"/>
    <n v="0"/>
    <n v="1"/>
    <x v="72"/>
    <x v="75"/>
  </r>
  <r>
    <x v="115"/>
    <d v="2011-01-06T00:00:00"/>
    <x v="0"/>
    <x v="0"/>
    <x v="0"/>
    <x v="0"/>
    <x v="0"/>
    <x v="0"/>
    <n v="4"/>
    <x v="0"/>
    <x v="15"/>
    <x v="0"/>
    <x v="19"/>
    <s v="High Humidity"/>
    <x v="28"/>
    <n v="0"/>
    <n v="0"/>
    <x v="48"/>
    <x v="62"/>
  </r>
  <r>
    <x v="116"/>
    <d v="2011-01-06T00:00:00"/>
    <x v="0"/>
    <x v="0"/>
    <x v="0"/>
    <x v="1"/>
    <x v="0"/>
    <x v="0"/>
    <n v="4"/>
    <x v="0"/>
    <x v="13"/>
    <x v="0"/>
    <x v="11"/>
    <s v="Low Humidity"/>
    <x v="26"/>
    <n v="0"/>
    <n v="0"/>
    <x v="22"/>
    <x v="48"/>
  </r>
  <r>
    <x v="117"/>
    <d v="2011-01-06T00:00:00"/>
    <x v="0"/>
    <x v="0"/>
    <x v="0"/>
    <x v="2"/>
    <x v="0"/>
    <x v="0"/>
    <n v="4"/>
    <x v="0"/>
    <x v="13"/>
    <x v="0"/>
    <x v="11"/>
    <s v="Low Humidity"/>
    <x v="26"/>
    <n v="0"/>
    <n v="0"/>
    <x v="6"/>
    <x v="5"/>
  </r>
  <r>
    <x v="118"/>
    <d v="2011-01-06T00:00:00"/>
    <x v="0"/>
    <x v="0"/>
    <x v="0"/>
    <x v="4"/>
    <x v="0"/>
    <x v="0"/>
    <n v="4"/>
    <x v="1"/>
    <x v="13"/>
    <x v="0"/>
    <x v="13"/>
    <s v="Low Humidity"/>
    <x v="26"/>
    <n v="8.9599999999999999E-2"/>
    <n v="0"/>
    <x v="4"/>
    <x v="4"/>
  </r>
  <r>
    <x v="119"/>
    <d v="2011-01-06T00:00:00"/>
    <x v="0"/>
    <x v="0"/>
    <x v="0"/>
    <x v="5"/>
    <x v="0"/>
    <x v="0"/>
    <n v="4"/>
    <x v="1"/>
    <x v="14"/>
    <x v="0"/>
    <x v="18"/>
    <s v="High Humidity"/>
    <x v="27"/>
    <n v="8.9599999999999999E-2"/>
    <n v="0"/>
    <x v="22"/>
    <x v="48"/>
  </r>
  <r>
    <x v="120"/>
    <d v="2011-01-06T00:00:00"/>
    <x v="0"/>
    <x v="0"/>
    <x v="0"/>
    <x v="6"/>
    <x v="0"/>
    <x v="0"/>
    <n v="4"/>
    <x v="1"/>
    <x v="14"/>
    <x v="0"/>
    <x v="17"/>
    <s v="Low Humidity"/>
    <x v="30"/>
    <n v="0.1045"/>
    <n v="0"/>
    <x v="49"/>
    <x v="9"/>
  </r>
  <r>
    <x v="121"/>
    <d v="2011-01-06T00:00:00"/>
    <x v="0"/>
    <x v="0"/>
    <x v="0"/>
    <x v="7"/>
    <x v="0"/>
    <x v="0"/>
    <n v="4"/>
    <x v="1"/>
    <x v="13"/>
    <x v="0"/>
    <x v="11"/>
    <s v="Low Humidity"/>
    <x v="29"/>
    <n v="0"/>
    <n v="0"/>
    <x v="73"/>
    <x v="76"/>
  </r>
  <r>
    <x v="122"/>
    <d v="2011-01-06T00:00:00"/>
    <x v="0"/>
    <x v="0"/>
    <x v="0"/>
    <x v="8"/>
    <x v="0"/>
    <x v="0"/>
    <n v="4"/>
    <x v="0"/>
    <x v="13"/>
    <x v="0"/>
    <x v="11"/>
    <s v="Low Humidity"/>
    <x v="29"/>
    <n v="0"/>
    <n v="3"/>
    <x v="74"/>
    <x v="77"/>
  </r>
  <r>
    <x v="123"/>
    <d v="2011-01-06T00:00:00"/>
    <x v="0"/>
    <x v="0"/>
    <x v="0"/>
    <x v="9"/>
    <x v="0"/>
    <x v="0"/>
    <n v="4"/>
    <x v="1"/>
    <x v="15"/>
    <x v="0"/>
    <x v="19"/>
    <s v="Low Humidity"/>
    <x v="33"/>
    <n v="0"/>
    <n v="6"/>
    <x v="75"/>
    <x v="78"/>
  </r>
  <r>
    <x v="124"/>
    <d v="2011-01-06T00:00:00"/>
    <x v="0"/>
    <x v="0"/>
    <x v="0"/>
    <x v="10"/>
    <x v="0"/>
    <x v="0"/>
    <n v="4"/>
    <x v="0"/>
    <x v="2"/>
    <x v="0"/>
    <x v="2"/>
    <s v="Low Humidity"/>
    <x v="19"/>
    <n v="0"/>
    <n v="3"/>
    <x v="76"/>
    <x v="79"/>
  </r>
  <r>
    <x v="125"/>
    <d v="2011-01-06T00:00:00"/>
    <x v="0"/>
    <x v="0"/>
    <x v="0"/>
    <x v="11"/>
    <x v="0"/>
    <x v="0"/>
    <n v="4"/>
    <x v="0"/>
    <x v="1"/>
    <x v="0"/>
    <x v="2"/>
    <s v="Low Humidity"/>
    <x v="18"/>
    <n v="8.9599999999999999E-2"/>
    <n v="2"/>
    <x v="77"/>
    <x v="29"/>
  </r>
  <r>
    <x v="126"/>
    <d v="2011-01-06T00:00:00"/>
    <x v="0"/>
    <x v="0"/>
    <x v="0"/>
    <x v="12"/>
    <x v="0"/>
    <x v="0"/>
    <n v="4"/>
    <x v="0"/>
    <x v="12"/>
    <x v="0"/>
    <x v="0"/>
    <s v="Low Humidity"/>
    <x v="23"/>
    <n v="0"/>
    <n v="6"/>
    <x v="78"/>
    <x v="11"/>
  </r>
  <r>
    <x v="127"/>
    <d v="2011-01-06T00:00:00"/>
    <x v="0"/>
    <x v="0"/>
    <x v="0"/>
    <x v="13"/>
    <x v="0"/>
    <x v="0"/>
    <n v="4"/>
    <x v="0"/>
    <x v="12"/>
    <x v="0"/>
    <x v="1"/>
    <s v="Low Humidity"/>
    <x v="23"/>
    <n v="0.1045"/>
    <n v="12"/>
    <x v="11"/>
    <x v="16"/>
  </r>
  <r>
    <x v="128"/>
    <d v="2011-01-06T00:00:00"/>
    <x v="0"/>
    <x v="0"/>
    <x v="0"/>
    <x v="14"/>
    <x v="0"/>
    <x v="0"/>
    <n v="4"/>
    <x v="0"/>
    <x v="17"/>
    <x v="0"/>
    <x v="1"/>
    <s v="Low Humidity"/>
    <x v="42"/>
    <n v="0.16420000000000001"/>
    <n v="11"/>
    <x v="79"/>
    <x v="27"/>
  </r>
  <r>
    <x v="129"/>
    <d v="2011-01-06T00:00:00"/>
    <x v="0"/>
    <x v="0"/>
    <x v="0"/>
    <x v="15"/>
    <x v="0"/>
    <x v="0"/>
    <n v="4"/>
    <x v="0"/>
    <x v="17"/>
    <x v="0"/>
    <x v="1"/>
    <s v="Low Humidity"/>
    <x v="42"/>
    <n v="0"/>
    <n v="8"/>
    <x v="25"/>
    <x v="69"/>
  </r>
  <r>
    <x v="130"/>
    <d v="2011-01-06T00:00:00"/>
    <x v="0"/>
    <x v="0"/>
    <x v="0"/>
    <x v="16"/>
    <x v="0"/>
    <x v="0"/>
    <n v="4"/>
    <x v="0"/>
    <x v="12"/>
    <x v="0"/>
    <x v="2"/>
    <s v="Low Humidity"/>
    <x v="41"/>
    <n v="0.16420000000000001"/>
    <n v="12"/>
    <x v="64"/>
    <x v="80"/>
  </r>
  <r>
    <x v="131"/>
    <d v="2011-01-06T00:00:00"/>
    <x v="0"/>
    <x v="0"/>
    <x v="0"/>
    <x v="17"/>
    <x v="0"/>
    <x v="0"/>
    <n v="4"/>
    <x v="0"/>
    <x v="1"/>
    <x v="0"/>
    <x v="11"/>
    <s v="Low Humidity"/>
    <x v="33"/>
    <n v="0.16420000000000001"/>
    <n v="9"/>
    <x v="80"/>
    <x v="81"/>
  </r>
  <r>
    <x v="132"/>
    <d v="2011-01-06T00:00:00"/>
    <x v="0"/>
    <x v="0"/>
    <x v="0"/>
    <x v="18"/>
    <x v="0"/>
    <x v="0"/>
    <n v="4"/>
    <x v="0"/>
    <x v="1"/>
    <x v="0"/>
    <x v="11"/>
    <s v="Low Humidity"/>
    <x v="33"/>
    <n v="0.1343"/>
    <n v="5"/>
    <x v="81"/>
    <x v="82"/>
  </r>
  <r>
    <x v="133"/>
    <d v="2011-01-06T00:00:00"/>
    <x v="0"/>
    <x v="0"/>
    <x v="0"/>
    <x v="19"/>
    <x v="0"/>
    <x v="0"/>
    <n v="4"/>
    <x v="0"/>
    <x v="1"/>
    <x v="0"/>
    <x v="2"/>
    <s v="Low Humidity"/>
    <x v="28"/>
    <n v="8.9599999999999999E-2"/>
    <n v="3"/>
    <x v="63"/>
    <x v="59"/>
  </r>
  <r>
    <x v="134"/>
    <d v="2011-01-06T00:00:00"/>
    <x v="0"/>
    <x v="0"/>
    <x v="0"/>
    <x v="20"/>
    <x v="0"/>
    <x v="0"/>
    <n v="4"/>
    <x v="0"/>
    <x v="2"/>
    <x v="0"/>
    <x v="12"/>
    <s v="Low Humidity"/>
    <x v="33"/>
    <n v="0.16420000000000001"/>
    <n v="3"/>
    <x v="43"/>
    <x v="83"/>
  </r>
  <r>
    <x v="135"/>
    <d v="2011-01-06T00:00:00"/>
    <x v="0"/>
    <x v="0"/>
    <x v="0"/>
    <x v="21"/>
    <x v="0"/>
    <x v="0"/>
    <n v="4"/>
    <x v="1"/>
    <x v="1"/>
    <x v="0"/>
    <x v="12"/>
    <s v="Low Humidity"/>
    <x v="28"/>
    <n v="0.22389999999999999"/>
    <n v="0"/>
    <x v="41"/>
    <x v="61"/>
  </r>
  <r>
    <x v="136"/>
    <d v="2011-01-06T00:00:00"/>
    <x v="0"/>
    <x v="0"/>
    <x v="0"/>
    <x v="22"/>
    <x v="0"/>
    <x v="0"/>
    <n v="4"/>
    <x v="1"/>
    <x v="1"/>
    <x v="0"/>
    <x v="12"/>
    <s v="Low Humidity"/>
    <x v="33"/>
    <n v="0.28360000000000002"/>
    <n v="1"/>
    <x v="82"/>
    <x v="46"/>
  </r>
  <r>
    <x v="137"/>
    <d v="2011-01-06T00:00:00"/>
    <x v="0"/>
    <x v="0"/>
    <x v="0"/>
    <x v="23"/>
    <x v="0"/>
    <x v="0"/>
    <n v="4"/>
    <x v="1"/>
    <x v="2"/>
    <x v="0"/>
    <x v="13"/>
    <s v="Low Humidity"/>
    <x v="29"/>
    <n v="0.19400000000000001"/>
    <n v="4"/>
    <x v="23"/>
    <x v="84"/>
  </r>
  <r>
    <x v="138"/>
    <d v="2011-01-07T00:00:00"/>
    <x v="0"/>
    <x v="0"/>
    <x v="0"/>
    <x v="0"/>
    <x v="0"/>
    <x v="0"/>
    <n v="5"/>
    <x v="1"/>
    <x v="2"/>
    <x v="0"/>
    <x v="13"/>
    <s v="Low Humidity"/>
    <x v="26"/>
    <n v="0.19400000000000001"/>
    <n v="4"/>
    <x v="0"/>
    <x v="22"/>
  </r>
  <r>
    <x v="139"/>
    <d v="2011-01-07T00:00:00"/>
    <x v="0"/>
    <x v="0"/>
    <x v="0"/>
    <x v="1"/>
    <x v="0"/>
    <x v="0"/>
    <n v="5"/>
    <x v="1"/>
    <x v="2"/>
    <x v="0"/>
    <x v="13"/>
    <s v="Low Humidity"/>
    <x v="27"/>
    <n v="0.22389999999999999"/>
    <n v="2"/>
    <x v="34"/>
    <x v="85"/>
  </r>
  <r>
    <x v="140"/>
    <d v="2011-01-07T00:00:00"/>
    <x v="0"/>
    <x v="0"/>
    <x v="0"/>
    <x v="2"/>
    <x v="0"/>
    <x v="0"/>
    <n v="5"/>
    <x v="1"/>
    <x v="2"/>
    <x v="0"/>
    <x v="13"/>
    <s v="Low Humidity"/>
    <x v="27"/>
    <n v="0.22389999999999999"/>
    <n v="0"/>
    <x v="4"/>
    <x v="4"/>
  </r>
  <r>
    <x v="141"/>
    <d v="2011-01-07T00:00:00"/>
    <x v="0"/>
    <x v="0"/>
    <x v="0"/>
    <x v="4"/>
    <x v="0"/>
    <x v="0"/>
    <n v="5"/>
    <x v="1"/>
    <x v="2"/>
    <x v="0"/>
    <x v="12"/>
    <s v="Low Humidity"/>
    <x v="27"/>
    <n v="0.1343"/>
    <n v="0"/>
    <x v="4"/>
    <x v="4"/>
  </r>
  <r>
    <x v="142"/>
    <d v="2011-01-07T00:00:00"/>
    <x v="0"/>
    <x v="0"/>
    <x v="0"/>
    <x v="5"/>
    <x v="0"/>
    <x v="0"/>
    <n v="5"/>
    <x v="2"/>
    <x v="1"/>
    <x v="0"/>
    <x v="1"/>
    <s v="Low Humidity"/>
    <x v="28"/>
    <n v="0"/>
    <n v="0"/>
    <x v="34"/>
    <x v="36"/>
  </r>
  <r>
    <x v="143"/>
    <d v="2011-01-07T00:00:00"/>
    <x v="0"/>
    <x v="0"/>
    <x v="0"/>
    <x v="6"/>
    <x v="0"/>
    <x v="0"/>
    <n v="5"/>
    <x v="1"/>
    <x v="2"/>
    <x v="0"/>
    <x v="2"/>
    <s v="Low Humidity"/>
    <x v="27"/>
    <n v="0"/>
    <n v="8"/>
    <x v="16"/>
    <x v="19"/>
  </r>
  <r>
    <x v="144"/>
    <d v="2011-01-07T00:00:00"/>
    <x v="0"/>
    <x v="0"/>
    <x v="0"/>
    <x v="7"/>
    <x v="0"/>
    <x v="0"/>
    <n v="5"/>
    <x v="0"/>
    <x v="2"/>
    <x v="0"/>
    <x v="12"/>
    <s v="Low Humidity"/>
    <x v="27"/>
    <n v="0.1343"/>
    <n v="8"/>
    <x v="83"/>
    <x v="11"/>
  </r>
  <r>
    <x v="145"/>
    <d v="2011-01-07T00:00:00"/>
    <x v="0"/>
    <x v="0"/>
    <x v="0"/>
    <x v="8"/>
    <x v="0"/>
    <x v="0"/>
    <n v="5"/>
    <x v="0"/>
    <x v="2"/>
    <x v="0"/>
    <x v="13"/>
    <s v="Low Humidity"/>
    <x v="33"/>
    <n v="0.25369999999999998"/>
    <n v="20"/>
    <x v="84"/>
    <x v="86"/>
  </r>
  <r>
    <x v="146"/>
    <d v="2011-01-07T00:00:00"/>
    <x v="0"/>
    <x v="0"/>
    <x v="0"/>
    <x v="9"/>
    <x v="0"/>
    <x v="0"/>
    <n v="5"/>
    <x v="0"/>
    <x v="2"/>
    <x v="0"/>
    <x v="18"/>
    <s v="Low Humidity"/>
    <x v="19"/>
    <n v="0.29849999999999999"/>
    <n v="9"/>
    <x v="85"/>
    <x v="87"/>
  </r>
  <r>
    <x v="147"/>
    <d v="2011-01-07T00:00:00"/>
    <x v="0"/>
    <x v="0"/>
    <x v="0"/>
    <x v="10"/>
    <x v="0"/>
    <x v="0"/>
    <n v="5"/>
    <x v="0"/>
    <x v="1"/>
    <x v="0"/>
    <x v="13"/>
    <s v="Low Humidity"/>
    <x v="38"/>
    <n v="0.32840000000000003"/>
    <n v="16"/>
    <x v="12"/>
    <x v="55"/>
  </r>
  <r>
    <x v="148"/>
    <d v="2011-01-07T00:00:00"/>
    <x v="0"/>
    <x v="0"/>
    <x v="0"/>
    <x v="11"/>
    <x v="0"/>
    <x v="0"/>
    <n v="5"/>
    <x v="1"/>
    <x v="2"/>
    <x v="0"/>
    <x v="13"/>
    <s v="Low Humidity"/>
    <x v="22"/>
    <n v="0.22389999999999999"/>
    <n v="19"/>
    <x v="41"/>
    <x v="16"/>
  </r>
  <r>
    <x v="149"/>
    <d v="2011-01-07T00:00:00"/>
    <x v="0"/>
    <x v="0"/>
    <x v="0"/>
    <x v="12"/>
    <x v="0"/>
    <x v="0"/>
    <n v="5"/>
    <x v="1"/>
    <x v="2"/>
    <x v="0"/>
    <x v="13"/>
    <s v="Low Humidity"/>
    <x v="38"/>
    <n v="0.25369999999999998"/>
    <n v="9"/>
    <x v="54"/>
    <x v="29"/>
  </r>
  <r>
    <x v="150"/>
    <d v="2011-01-07T00:00:00"/>
    <x v="0"/>
    <x v="0"/>
    <x v="0"/>
    <x v="13"/>
    <x v="0"/>
    <x v="0"/>
    <n v="5"/>
    <x v="1"/>
    <x v="2"/>
    <x v="0"/>
    <x v="18"/>
    <s v="Low Humidity"/>
    <x v="38"/>
    <n v="0.28360000000000002"/>
    <n v="9"/>
    <x v="27"/>
    <x v="88"/>
  </r>
  <r>
    <x v="151"/>
    <d v="2011-01-07T00:00:00"/>
    <x v="0"/>
    <x v="0"/>
    <x v="0"/>
    <x v="14"/>
    <x v="0"/>
    <x v="0"/>
    <n v="5"/>
    <x v="1"/>
    <x v="2"/>
    <x v="0"/>
    <x v="13"/>
    <s v="Low Humidity"/>
    <x v="22"/>
    <n v="0.25369999999999998"/>
    <n v="7"/>
    <x v="30"/>
    <x v="89"/>
  </r>
  <r>
    <x v="152"/>
    <d v="2011-01-07T00:00:00"/>
    <x v="0"/>
    <x v="0"/>
    <x v="0"/>
    <x v="15"/>
    <x v="0"/>
    <x v="0"/>
    <n v="5"/>
    <x v="1"/>
    <x v="2"/>
    <x v="0"/>
    <x v="12"/>
    <s v="Low Humidity"/>
    <x v="38"/>
    <n v="0.16420000000000001"/>
    <n v="9"/>
    <x v="36"/>
    <x v="44"/>
  </r>
  <r>
    <x v="153"/>
    <d v="2011-01-07T00:00:00"/>
    <x v="0"/>
    <x v="0"/>
    <x v="0"/>
    <x v="16"/>
    <x v="0"/>
    <x v="0"/>
    <n v="5"/>
    <x v="1"/>
    <x v="2"/>
    <x v="0"/>
    <x v="12"/>
    <s v="Low Humidity"/>
    <x v="38"/>
    <n v="0.16420000000000001"/>
    <n v="5"/>
    <x v="70"/>
    <x v="90"/>
  </r>
  <r>
    <x v="154"/>
    <d v="2011-01-07T00:00:00"/>
    <x v="0"/>
    <x v="0"/>
    <x v="0"/>
    <x v="17"/>
    <x v="0"/>
    <x v="0"/>
    <n v="5"/>
    <x v="1"/>
    <x v="2"/>
    <x v="0"/>
    <x v="2"/>
    <s v="Low Humidity"/>
    <x v="38"/>
    <n v="0"/>
    <n v="9"/>
    <x v="86"/>
    <x v="91"/>
  </r>
  <r>
    <x v="155"/>
    <d v="2011-01-07T00:00:00"/>
    <x v="0"/>
    <x v="0"/>
    <x v="0"/>
    <x v="18"/>
    <x v="0"/>
    <x v="0"/>
    <n v="5"/>
    <x v="0"/>
    <x v="2"/>
    <x v="0"/>
    <x v="11"/>
    <s v="High Humidity"/>
    <x v="22"/>
    <n v="8.9599999999999999E-2"/>
    <n v="7"/>
    <x v="75"/>
    <x v="92"/>
  </r>
  <r>
    <x v="156"/>
    <d v="2011-01-07T00:00:00"/>
    <x v="0"/>
    <x v="0"/>
    <x v="0"/>
    <x v="19"/>
    <x v="0"/>
    <x v="0"/>
    <n v="5"/>
    <x v="0"/>
    <x v="13"/>
    <x v="0"/>
    <x v="13"/>
    <s v="High Humidity"/>
    <x v="28"/>
    <n v="8.9599999999999999E-2"/>
    <n v="3"/>
    <x v="50"/>
    <x v="76"/>
  </r>
  <r>
    <x v="157"/>
    <d v="2011-01-07T00:00:00"/>
    <x v="0"/>
    <x v="0"/>
    <x v="0"/>
    <x v="20"/>
    <x v="0"/>
    <x v="0"/>
    <n v="5"/>
    <x v="0"/>
    <x v="15"/>
    <x v="0"/>
    <x v="12"/>
    <s v="High Humidity"/>
    <x v="19"/>
    <n v="0.1045"/>
    <n v="1"/>
    <x v="54"/>
    <x v="41"/>
  </r>
  <r>
    <x v="158"/>
    <d v="2011-01-07T00:00:00"/>
    <x v="0"/>
    <x v="0"/>
    <x v="0"/>
    <x v="21"/>
    <x v="0"/>
    <x v="0"/>
    <n v="5"/>
    <x v="0"/>
    <x v="15"/>
    <x v="0"/>
    <x v="13"/>
    <s v="High Humidity"/>
    <x v="19"/>
    <n v="0.1343"/>
    <n v="0"/>
    <x v="87"/>
    <x v="21"/>
  </r>
  <r>
    <x v="159"/>
    <d v="2011-01-07T00:00:00"/>
    <x v="0"/>
    <x v="0"/>
    <x v="0"/>
    <x v="22"/>
    <x v="0"/>
    <x v="0"/>
    <n v="5"/>
    <x v="1"/>
    <x v="15"/>
    <x v="0"/>
    <x v="13"/>
    <s v="High Humidity"/>
    <x v="21"/>
    <n v="0.16420000000000001"/>
    <n v="2"/>
    <x v="60"/>
    <x v="9"/>
  </r>
  <r>
    <x v="160"/>
    <d v="2011-01-07T00:00:00"/>
    <x v="0"/>
    <x v="0"/>
    <x v="0"/>
    <x v="23"/>
    <x v="0"/>
    <x v="0"/>
    <n v="5"/>
    <x v="1"/>
    <x v="15"/>
    <x v="0"/>
    <x v="13"/>
    <s v="High Humidity"/>
    <x v="33"/>
    <n v="0.16420000000000001"/>
    <n v="1"/>
    <x v="88"/>
    <x v="93"/>
  </r>
  <r>
    <x v="161"/>
    <d v="2011-01-08T00:00:00"/>
    <x v="0"/>
    <x v="0"/>
    <x v="0"/>
    <x v="0"/>
    <x v="0"/>
    <x v="0"/>
    <n v="6"/>
    <x v="1"/>
    <x v="15"/>
    <x v="0"/>
    <x v="13"/>
    <s v="High Humidity"/>
    <x v="33"/>
    <n v="0.16420000000000001"/>
    <n v="1"/>
    <x v="9"/>
    <x v="94"/>
  </r>
  <r>
    <x v="162"/>
    <d v="2011-01-08T00:00:00"/>
    <x v="0"/>
    <x v="0"/>
    <x v="0"/>
    <x v="1"/>
    <x v="0"/>
    <x v="0"/>
    <n v="6"/>
    <x v="1"/>
    <x v="15"/>
    <x v="0"/>
    <x v="12"/>
    <s v="High Humidity"/>
    <x v="28"/>
    <n v="8.9599999999999999E-2"/>
    <n v="1"/>
    <x v="89"/>
    <x v="0"/>
  </r>
  <r>
    <x v="163"/>
    <d v="2011-01-08T00:00:00"/>
    <x v="0"/>
    <x v="0"/>
    <x v="0"/>
    <x v="2"/>
    <x v="0"/>
    <x v="0"/>
    <n v="6"/>
    <x v="1"/>
    <x v="15"/>
    <x v="0"/>
    <x v="19"/>
    <s v="High Humidity"/>
    <x v="28"/>
    <n v="0"/>
    <n v="3"/>
    <x v="0"/>
    <x v="0"/>
  </r>
  <r>
    <x v="164"/>
    <d v="2011-01-08T00:00:00"/>
    <x v="0"/>
    <x v="0"/>
    <x v="0"/>
    <x v="3"/>
    <x v="0"/>
    <x v="0"/>
    <n v="6"/>
    <x v="2"/>
    <x v="15"/>
    <x v="0"/>
    <x v="13"/>
    <s v="High Humidity"/>
    <x v="28"/>
    <n v="0.16420000000000001"/>
    <n v="0"/>
    <x v="7"/>
    <x v="85"/>
  </r>
  <r>
    <x v="165"/>
    <d v="2011-01-08T00:00:00"/>
    <x v="0"/>
    <x v="0"/>
    <x v="0"/>
    <x v="4"/>
    <x v="0"/>
    <x v="0"/>
    <n v="6"/>
    <x v="2"/>
    <x v="15"/>
    <x v="0"/>
    <x v="13"/>
    <s v="High Humidity"/>
    <x v="28"/>
    <n v="0.16420000000000001"/>
    <n v="0"/>
    <x v="4"/>
    <x v="4"/>
  </r>
  <r>
    <x v="166"/>
    <d v="2011-01-08T00:00:00"/>
    <x v="0"/>
    <x v="0"/>
    <x v="0"/>
    <x v="5"/>
    <x v="0"/>
    <x v="0"/>
    <n v="6"/>
    <x v="1"/>
    <x v="13"/>
    <x v="0"/>
    <x v="17"/>
    <s v="High Humidity"/>
    <x v="32"/>
    <n v="0.16420000000000001"/>
    <n v="0"/>
    <x v="34"/>
    <x v="36"/>
  </r>
  <r>
    <x v="167"/>
    <d v="2011-01-08T00:00:00"/>
    <x v="0"/>
    <x v="0"/>
    <x v="0"/>
    <x v="6"/>
    <x v="0"/>
    <x v="0"/>
    <n v="6"/>
    <x v="1"/>
    <x v="13"/>
    <x v="0"/>
    <x v="17"/>
    <s v="High Humidity"/>
    <x v="32"/>
    <n v="0.16420000000000001"/>
    <n v="0"/>
    <x v="6"/>
    <x v="5"/>
  </r>
  <r>
    <x v="168"/>
    <d v="2011-01-08T00:00:00"/>
    <x v="0"/>
    <x v="0"/>
    <x v="0"/>
    <x v="7"/>
    <x v="0"/>
    <x v="0"/>
    <n v="6"/>
    <x v="1"/>
    <x v="13"/>
    <x v="0"/>
    <x v="18"/>
    <s v="High Humidity"/>
    <x v="32"/>
    <n v="0.1045"/>
    <n v="1"/>
    <x v="21"/>
    <x v="23"/>
  </r>
  <r>
    <x v="169"/>
    <d v="2011-01-08T00:00:00"/>
    <x v="0"/>
    <x v="0"/>
    <x v="0"/>
    <x v="8"/>
    <x v="0"/>
    <x v="0"/>
    <n v="6"/>
    <x v="2"/>
    <x v="13"/>
    <x v="1"/>
    <x v="18"/>
    <s v="Low Humidity"/>
    <x v="43"/>
    <n v="0.1045"/>
    <n v="0"/>
    <x v="89"/>
    <x v="93"/>
  </r>
  <r>
    <x v="170"/>
    <d v="2011-01-08T00:00:00"/>
    <x v="0"/>
    <x v="0"/>
    <x v="0"/>
    <x v="9"/>
    <x v="0"/>
    <x v="0"/>
    <n v="6"/>
    <x v="2"/>
    <x v="13"/>
    <x v="1"/>
    <x v="18"/>
    <s v="Low Humidity"/>
    <x v="43"/>
    <n v="0.1045"/>
    <n v="0"/>
    <x v="32"/>
    <x v="25"/>
  </r>
  <r>
    <x v="171"/>
    <d v="2011-01-08T00:00:00"/>
    <x v="0"/>
    <x v="0"/>
    <x v="0"/>
    <x v="10"/>
    <x v="0"/>
    <x v="0"/>
    <n v="6"/>
    <x v="1"/>
    <x v="15"/>
    <x v="1"/>
    <x v="13"/>
    <s v="Low Humidity"/>
    <x v="1"/>
    <n v="0.16420000000000001"/>
    <n v="5"/>
    <x v="90"/>
    <x v="42"/>
  </r>
  <r>
    <x v="172"/>
    <d v="2011-01-08T00:00:00"/>
    <x v="0"/>
    <x v="0"/>
    <x v="0"/>
    <x v="11"/>
    <x v="0"/>
    <x v="0"/>
    <n v="6"/>
    <x v="1"/>
    <x v="2"/>
    <x v="1"/>
    <x v="18"/>
    <s v="Low Humidity"/>
    <x v="27"/>
    <n v="0.3881"/>
    <n v="2"/>
    <x v="91"/>
    <x v="69"/>
  </r>
  <r>
    <x v="173"/>
    <d v="2011-01-08T00:00:00"/>
    <x v="0"/>
    <x v="0"/>
    <x v="0"/>
    <x v="12"/>
    <x v="0"/>
    <x v="0"/>
    <n v="6"/>
    <x v="1"/>
    <x v="2"/>
    <x v="1"/>
    <x v="18"/>
    <s v="Low Humidity"/>
    <x v="29"/>
    <n v="0.35820000000000002"/>
    <n v="8"/>
    <x v="92"/>
    <x v="95"/>
  </r>
  <r>
    <x v="174"/>
    <d v="2011-01-08T00:00:00"/>
    <x v="0"/>
    <x v="0"/>
    <x v="0"/>
    <x v="13"/>
    <x v="0"/>
    <x v="0"/>
    <n v="6"/>
    <x v="0"/>
    <x v="2"/>
    <x v="1"/>
    <x v="18"/>
    <s v="Low Humidity"/>
    <x v="18"/>
    <n v="0.32840000000000003"/>
    <n v="7"/>
    <x v="73"/>
    <x v="96"/>
  </r>
  <r>
    <x v="175"/>
    <d v="2011-01-08T00:00:00"/>
    <x v="0"/>
    <x v="0"/>
    <x v="0"/>
    <x v="14"/>
    <x v="0"/>
    <x v="0"/>
    <n v="6"/>
    <x v="0"/>
    <x v="2"/>
    <x v="1"/>
    <x v="17"/>
    <s v="Low Humidity"/>
    <x v="25"/>
    <n v="0.49249999999999999"/>
    <n v="12"/>
    <x v="93"/>
    <x v="76"/>
  </r>
  <r>
    <x v="176"/>
    <d v="2011-01-08T00:00:00"/>
    <x v="0"/>
    <x v="0"/>
    <x v="0"/>
    <x v="15"/>
    <x v="0"/>
    <x v="0"/>
    <n v="6"/>
    <x v="0"/>
    <x v="2"/>
    <x v="1"/>
    <x v="17"/>
    <s v="High Humidity"/>
    <x v="25"/>
    <n v="0.44779999999999998"/>
    <n v="5"/>
    <x v="94"/>
    <x v="30"/>
  </r>
  <r>
    <x v="177"/>
    <d v="2011-01-08T00:00:00"/>
    <x v="0"/>
    <x v="0"/>
    <x v="0"/>
    <x v="16"/>
    <x v="0"/>
    <x v="0"/>
    <n v="6"/>
    <x v="0"/>
    <x v="15"/>
    <x v="0"/>
    <x v="14"/>
    <s v="High Humidity"/>
    <x v="44"/>
    <n v="0.44779999999999998"/>
    <n v="8"/>
    <x v="56"/>
    <x v="31"/>
  </r>
  <r>
    <x v="178"/>
    <d v="2011-01-08T00:00:00"/>
    <x v="0"/>
    <x v="0"/>
    <x v="0"/>
    <x v="17"/>
    <x v="0"/>
    <x v="0"/>
    <n v="6"/>
    <x v="0"/>
    <x v="13"/>
    <x v="0"/>
    <x v="16"/>
    <s v="High Humidity"/>
    <x v="38"/>
    <n v="0.55220000000000002"/>
    <n v="5"/>
    <x v="27"/>
    <x v="83"/>
  </r>
  <r>
    <x v="179"/>
    <d v="2011-01-08T00:00:00"/>
    <x v="0"/>
    <x v="0"/>
    <x v="0"/>
    <x v="18"/>
    <x v="0"/>
    <x v="0"/>
    <n v="6"/>
    <x v="0"/>
    <x v="14"/>
    <x v="0"/>
    <x v="16"/>
    <s v="High Humidity"/>
    <x v="17"/>
    <n v="0.29849999999999999"/>
    <n v="3"/>
    <x v="15"/>
    <x v="97"/>
  </r>
  <r>
    <x v="180"/>
    <d v="2011-01-08T00:00:00"/>
    <x v="0"/>
    <x v="0"/>
    <x v="0"/>
    <x v="19"/>
    <x v="0"/>
    <x v="0"/>
    <n v="6"/>
    <x v="0"/>
    <x v="14"/>
    <x v="0"/>
    <x v="16"/>
    <s v="High Humidity"/>
    <x v="42"/>
    <n v="0.25369999999999998"/>
    <n v="4"/>
    <x v="16"/>
    <x v="33"/>
  </r>
  <r>
    <x v="181"/>
    <d v="2011-01-08T00:00:00"/>
    <x v="0"/>
    <x v="0"/>
    <x v="0"/>
    <x v="20"/>
    <x v="0"/>
    <x v="0"/>
    <n v="6"/>
    <x v="0"/>
    <x v="16"/>
    <x v="0"/>
    <x v="16"/>
    <s v="High Humidity"/>
    <x v="42"/>
    <n v="0.25369999999999998"/>
    <n v="0"/>
    <x v="95"/>
    <x v="20"/>
  </r>
  <r>
    <x v="182"/>
    <d v="2011-01-08T00:00:00"/>
    <x v="0"/>
    <x v="0"/>
    <x v="0"/>
    <x v="21"/>
    <x v="0"/>
    <x v="0"/>
    <n v="6"/>
    <x v="0"/>
    <x v="16"/>
    <x v="0"/>
    <x v="15"/>
    <s v="High Humidity"/>
    <x v="17"/>
    <n v="0.35820000000000002"/>
    <n v="2"/>
    <x v="96"/>
    <x v="18"/>
  </r>
  <r>
    <x v="183"/>
    <d v="2011-01-08T00:00:00"/>
    <x v="0"/>
    <x v="0"/>
    <x v="0"/>
    <x v="22"/>
    <x v="0"/>
    <x v="0"/>
    <n v="6"/>
    <x v="0"/>
    <x v="16"/>
    <x v="0"/>
    <x v="15"/>
    <s v="High Humidity"/>
    <x v="42"/>
    <n v="0.3881"/>
    <n v="1"/>
    <x v="39"/>
    <x v="19"/>
  </r>
  <r>
    <x v="184"/>
    <d v="2011-01-08T00:00:00"/>
    <x v="0"/>
    <x v="0"/>
    <x v="0"/>
    <x v="23"/>
    <x v="0"/>
    <x v="0"/>
    <n v="6"/>
    <x v="0"/>
    <x v="18"/>
    <x v="0"/>
    <x v="22"/>
    <s v="High Humidity"/>
    <x v="17"/>
    <n v="0.44779999999999998"/>
    <n v="0"/>
    <x v="97"/>
    <x v="34"/>
  </r>
  <r>
    <x v="185"/>
    <d v="2011-01-09T00:00:00"/>
    <x v="0"/>
    <x v="0"/>
    <x v="0"/>
    <x v="0"/>
    <x v="0"/>
    <x v="0"/>
    <n v="0"/>
    <x v="0"/>
    <x v="18"/>
    <x v="0"/>
    <x v="23"/>
    <s v="High Humidity"/>
    <x v="16"/>
    <n v="0.3881"/>
    <n v="1"/>
    <x v="9"/>
    <x v="94"/>
  </r>
  <r>
    <x v="186"/>
    <d v="2011-01-09T00:00:00"/>
    <x v="0"/>
    <x v="0"/>
    <x v="0"/>
    <x v="1"/>
    <x v="0"/>
    <x v="0"/>
    <n v="0"/>
    <x v="0"/>
    <x v="18"/>
    <x v="0"/>
    <x v="22"/>
    <s v="High Humidity"/>
    <x v="16"/>
    <n v="0.4627"/>
    <n v="0"/>
    <x v="98"/>
    <x v="47"/>
  </r>
  <r>
    <x v="187"/>
    <d v="2011-01-09T00:00:00"/>
    <x v="0"/>
    <x v="0"/>
    <x v="0"/>
    <x v="2"/>
    <x v="0"/>
    <x v="0"/>
    <n v="0"/>
    <x v="0"/>
    <x v="18"/>
    <x v="0"/>
    <x v="22"/>
    <s v="High Humidity"/>
    <x v="15"/>
    <n v="0.4627"/>
    <n v="0"/>
    <x v="48"/>
    <x v="62"/>
  </r>
  <r>
    <x v="188"/>
    <d v="2011-01-09T00:00:00"/>
    <x v="0"/>
    <x v="0"/>
    <x v="0"/>
    <x v="3"/>
    <x v="0"/>
    <x v="0"/>
    <n v="0"/>
    <x v="0"/>
    <x v="18"/>
    <x v="0"/>
    <x v="23"/>
    <s v="High Humidity"/>
    <x v="15"/>
    <n v="0.41789999999999999"/>
    <n v="0"/>
    <x v="22"/>
    <x v="48"/>
  </r>
  <r>
    <x v="189"/>
    <d v="2011-01-09T00:00:00"/>
    <x v="0"/>
    <x v="0"/>
    <x v="0"/>
    <x v="4"/>
    <x v="0"/>
    <x v="0"/>
    <n v="0"/>
    <x v="0"/>
    <x v="19"/>
    <x v="0"/>
    <x v="24"/>
    <s v="High Humidity"/>
    <x v="45"/>
    <n v="0.19400000000000001"/>
    <n v="0"/>
    <x v="4"/>
    <x v="4"/>
  </r>
  <r>
    <x v="190"/>
    <d v="2011-01-09T00:00:00"/>
    <x v="0"/>
    <x v="0"/>
    <x v="0"/>
    <x v="5"/>
    <x v="0"/>
    <x v="0"/>
    <n v="0"/>
    <x v="0"/>
    <x v="19"/>
    <x v="0"/>
    <x v="24"/>
    <s v="High Humidity"/>
    <x v="45"/>
    <n v="0.19400000000000001"/>
    <n v="0"/>
    <x v="4"/>
    <x v="4"/>
  </r>
  <r>
    <x v="191"/>
    <d v="2011-01-09T00:00:00"/>
    <x v="0"/>
    <x v="0"/>
    <x v="0"/>
    <x v="6"/>
    <x v="0"/>
    <x v="0"/>
    <n v="0"/>
    <x v="0"/>
    <x v="18"/>
    <x v="0"/>
    <x v="24"/>
    <s v="High Humidity"/>
    <x v="36"/>
    <n v="0.28360000000000002"/>
    <n v="0"/>
    <x v="4"/>
    <x v="4"/>
  </r>
  <r>
    <x v="192"/>
    <d v="2011-01-09T00:00:00"/>
    <x v="0"/>
    <x v="0"/>
    <x v="0"/>
    <x v="7"/>
    <x v="0"/>
    <x v="0"/>
    <n v="0"/>
    <x v="0"/>
    <x v="19"/>
    <x v="0"/>
    <x v="24"/>
    <s v="High Humidity"/>
    <x v="45"/>
    <n v="0.19400000000000001"/>
    <n v="1"/>
    <x v="34"/>
    <x v="24"/>
  </r>
  <r>
    <x v="193"/>
    <d v="2011-01-09T00:00:00"/>
    <x v="0"/>
    <x v="0"/>
    <x v="0"/>
    <x v="8"/>
    <x v="0"/>
    <x v="0"/>
    <n v="0"/>
    <x v="0"/>
    <x v="18"/>
    <x v="0"/>
    <x v="24"/>
    <s v="High Humidity"/>
    <x v="36"/>
    <n v="0.28360000000000002"/>
    <n v="0"/>
    <x v="3"/>
    <x v="98"/>
  </r>
  <r>
    <x v="194"/>
    <d v="2011-01-09T00:00:00"/>
    <x v="0"/>
    <x v="0"/>
    <x v="0"/>
    <x v="9"/>
    <x v="0"/>
    <x v="0"/>
    <n v="0"/>
    <x v="0"/>
    <x v="16"/>
    <x v="0"/>
    <x v="23"/>
    <s v="High Humidity"/>
    <x v="15"/>
    <n v="0.52239999999999998"/>
    <n v="0"/>
    <x v="23"/>
    <x v="75"/>
  </r>
  <r>
    <x v="195"/>
    <d v="2011-01-09T00:00:00"/>
    <x v="0"/>
    <x v="0"/>
    <x v="0"/>
    <x v="10"/>
    <x v="0"/>
    <x v="0"/>
    <n v="0"/>
    <x v="0"/>
    <x v="14"/>
    <x v="0"/>
    <x v="15"/>
    <s v="High Humidity"/>
    <x v="21"/>
    <n v="0.3881"/>
    <n v="0"/>
    <x v="47"/>
    <x v="99"/>
  </r>
  <r>
    <x v="196"/>
    <d v="2011-01-09T00:00:00"/>
    <x v="0"/>
    <x v="0"/>
    <x v="0"/>
    <x v="11"/>
    <x v="0"/>
    <x v="0"/>
    <n v="0"/>
    <x v="0"/>
    <x v="13"/>
    <x v="0"/>
    <x v="16"/>
    <s v="High Humidity"/>
    <x v="22"/>
    <n v="0.52239999999999998"/>
    <n v="2"/>
    <x v="12"/>
    <x v="99"/>
  </r>
  <r>
    <x v="197"/>
    <d v="2011-01-09T00:00:00"/>
    <x v="0"/>
    <x v="0"/>
    <x v="0"/>
    <x v="12"/>
    <x v="0"/>
    <x v="0"/>
    <n v="0"/>
    <x v="0"/>
    <x v="15"/>
    <x v="0"/>
    <x v="14"/>
    <s v="Low Humidity"/>
    <x v="38"/>
    <n v="0.44779999999999998"/>
    <n v="4"/>
    <x v="55"/>
    <x v="56"/>
  </r>
  <r>
    <x v="198"/>
    <d v="2011-01-09T00:00:00"/>
    <x v="0"/>
    <x v="0"/>
    <x v="0"/>
    <x v="13"/>
    <x v="0"/>
    <x v="0"/>
    <n v="0"/>
    <x v="0"/>
    <x v="2"/>
    <x v="0"/>
    <x v="17"/>
    <s v="Low Humidity"/>
    <x v="46"/>
    <n v="0.44779999999999998"/>
    <n v="6"/>
    <x v="94"/>
    <x v="28"/>
  </r>
  <r>
    <x v="199"/>
    <d v="2011-01-09T00:00:00"/>
    <x v="0"/>
    <x v="0"/>
    <x v="0"/>
    <x v="14"/>
    <x v="0"/>
    <x v="0"/>
    <n v="0"/>
    <x v="0"/>
    <x v="1"/>
    <x v="0"/>
    <x v="18"/>
    <s v="High Humidity"/>
    <x v="25"/>
    <n v="0.4627"/>
    <n v="8"/>
    <x v="27"/>
    <x v="44"/>
  </r>
  <r>
    <x v="200"/>
    <d v="2011-01-09T00:00:00"/>
    <x v="0"/>
    <x v="0"/>
    <x v="0"/>
    <x v="15"/>
    <x v="0"/>
    <x v="0"/>
    <n v="0"/>
    <x v="0"/>
    <x v="1"/>
    <x v="0"/>
    <x v="13"/>
    <s v="High Humidity"/>
    <x v="23"/>
    <n v="0.35820000000000002"/>
    <n v="5"/>
    <x v="99"/>
    <x v="100"/>
  </r>
  <r>
    <x v="201"/>
    <d v="2011-01-09T00:00:00"/>
    <x v="0"/>
    <x v="0"/>
    <x v="0"/>
    <x v="16"/>
    <x v="0"/>
    <x v="0"/>
    <n v="0"/>
    <x v="0"/>
    <x v="2"/>
    <x v="0"/>
    <x v="17"/>
    <s v="High Humidity"/>
    <x v="46"/>
    <n v="0.44779999999999998"/>
    <n v="13"/>
    <x v="55"/>
    <x v="101"/>
  </r>
  <r>
    <x v="202"/>
    <d v="2011-01-09T00:00:00"/>
    <x v="0"/>
    <x v="0"/>
    <x v="0"/>
    <x v="17"/>
    <x v="0"/>
    <x v="0"/>
    <n v="0"/>
    <x v="0"/>
    <x v="15"/>
    <x v="0"/>
    <x v="20"/>
    <s v="High Humidity"/>
    <x v="38"/>
    <n v="0.3881"/>
    <n v="3"/>
    <x v="79"/>
    <x v="69"/>
  </r>
  <r>
    <x v="203"/>
    <d v="2011-01-09T00:00:00"/>
    <x v="0"/>
    <x v="0"/>
    <x v="0"/>
    <x v="18"/>
    <x v="0"/>
    <x v="0"/>
    <n v="0"/>
    <x v="0"/>
    <x v="13"/>
    <x v="0"/>
    <x v="14"/>
    <s v="High Humidity"/>
    <x v="22"/>
    <n v="0.32840000000000003"/>
    <n v="4"/>
    <x v="100"/>
    <x v="61"/>
  </r>
  <r>
    <x v="204"/>
    <d v="2011-01-09T00:00:00"/>
    <x v="0"/>
    <x v="0"/>
    <x v="0"/>
    <x v="19"/>
    <x v="0"/>
    <x v="0"/>
    <n v="0"/>
    <x v="0"/>
    <x v="13"/>
    <x v="0"/>
    <x v="14"/>
    <s v="High Humidity"/>
    <x v="21"/>
    <n v="0.32840000000000003"/>
    <n v="1"/>
    <x v="71"/>
    <x v="102"/>
  </r>
  <r>
    <x v="205"/>
    <d v="2011-01-09T00:00:00"/>
    <x v="0"/>
    <x v="0"/>
    <x v="0"/>
    <x v="20"/>
    <x v="0"/>
    <x v="0"/>
    <n v="0"/>
    <x v="0"/>
    <x v="14"/>
    <x v="0"/>
    <x v="16"/>
    <s v="High Humidity"/>
    <x v="15"/>
    <n v="0.25369999999999998"/>
    <n v="0"/>
    <x v="101"/>
    <x v="103"/>
  </r>
  <r>
    <x v="206"/>
    <d v="2011-01-09T00:00:00"/>
    <x v="0"/>
    <x v="0"/>
    <x v="0"/>
    <x v="21"/>
    <x v="0"/>
    <x v="0"/>
    <n v="0"/>
    <x v="0"/>
    <x v="14"/>
    <x v="0"/>
    <x v="15"/>
    <s v="High Humidity"/>
    <x v="15"/>
    <n v="0.41789999999999999"/>
    <n v="1"/>
    <x v="23"/>
    <x v="25"/>
  </r>
  <r>
    <x v="207"/>
    <d v="2011-01-09T00:00:00"/>
    <x v="0"/>
    <x v="0"/>
    <x v="0"/>
    <x v="22"/>
    <x v="0"/>
    <x v="0"/>
    <n v="0"/>
    <x v="0"/>
    <x v="14"/>
    <x v="0"/>
    <x v="16"/>
    <s v="High Humidity"/>
    <x v="15"/>
    <n v="0.29849999999999999"/>
    <n v="5"/>
    <x v="3"/>
    <x v="93"/>
  </r>
  <r>
    <x v="208"/>
    <d v="2011-01-09T00:00:00"/>
    <x v="0"/>
    <x v="0"/>
    <x v="0"/>
    <x v="23"/>
    <x v="0"/>
    <x v="0"/>
    <n v="0"/>
    <x v="0"/>
    <x v="16"/>
    <x v="0"/>
    <x v="14"/>
    <s v="High Humidity"/>
    <x v="20"/>
    <n v="0.19400000000000001"/>
    <n v="0"/>
    <x v="8"/>
    <x v="24"/>
  </r>
  <r>
    <x v="209"/>
    <d v="2011-01-10T00:00:00"/>
    <x v="0"/>
    <x v="0"/>
    <x v="0"/>
    <x v="0"/>
    <x v="0"/>
    <x v="0"/>
    <n v="1"/>
    <x v="0"/>
    <x v="16"/>
    <x v="0"/>
    <x v="16"/>
    <s v="High Humidity"/>
    <x v="20"/>
    <n v="0.28360000000000002"/>
    <n v="2"/>
    <x v="35"/>
    <x v="36"/>
  </r>
  <r>
    <x v="210"/>
    <d v="2011-01-10T00:00:00"/>
    <x v="0"/>
    <x v="0"/>
    <x v="0"/>
    <x v="1"/>
    <x v="0"/>
    <x v="0"/>
    <n v="1"/>
    <x v="0"/>
    <x v="16"/>
    <x v="0"/>
    <x v="16"/>
    <s v="High Humidity"/>
    <x v="20"/>
    <n v="0.28360000000000002"/>
    <n v="1"/>
    <x v="5"/>
    <x v="4"/>
  </r>
  <r>
    <x v="211"/>
    <d v="2011-01-10T00:00:00"/>
    <x v="0"/>
    <x v="0"/>
    <x v="0"/>
    <x v="2"/>
    <x v="0"/>
    <x v="0"/>
    <n v="1"/>
    <x v="0"/>
    <x v="16"/>
    <x v="0"/>
    <x v="16"/>
    <s v="High Humidity"/>
    <x v="20"/>
    <n v="0.22389999999999999"/>
    <n v="0"/>
    <x v="35"/>
    <x v="6"/>
  </r>
  <r>
    <x v="212"/>
    <d v="2011-01-10T00:00:00"/>
    <x v="0"/>
    <x v="0"/>
    <x v="0"/>
    <x v="3"/>
    <x v="0"/>
    <x v="0"/>
    <n v="1"/>
    <x v="0"/>
    <x v="16"/>
    <x v="0"/>
    <x v="16"/>
    <s v="High Humidity"/>
    <x v="20"/>
    <n v="0.22389999999999999"/>
    <n v="0"/>
    <x v="4"/>
    <x v="4"/>
  </r>
  <r>
    <x v="213"/>
    <d v="2011-01-10T00:00:00"/>
    <x v="0"/>
    <x v="0"/>
    <x v="0"/>
    <x v="4"/>
    <x v="0"/>
    <x v="0"/>
    <n v="1"/>
    <x v="0"/>
    <x v="18"/>
    <x v="0"/>
    <x v="16"/>
    <s v="High Humidity"/>
    <x v="47"/>
    <n v="0.1343"/>
    <n v="1"/>
    <x v="6"/>
    <x v="6"/>
  </r>
  <r>
    <x v="214"/>
    <d v="2011-01-10T00:00:00"/>
    <x v="0"/>
    <x v="0"/>
    <x v="0"/>
    <x v="5"/>
    <x v="0"/>
    <x v="0"/>
    <n v="1"/>
    <x v="0"/>
    <x v="18"/>
    <x v="0"/>
    <x v="15"/>
    <s v="High Humidity"/>
    <x v="47"/>
    <n v="0.25369999999999998"/>
    <n v="0"/>
    <x v="35"/>
    <x v="6"/>
  </r>
  <r>
    <x v="215"/>
    <d v="2011-01-10T00:00:00"/>
    <x v="0"/>
    <x v="0"/>
    <x v="0"/>
    <x v="6"/>
    <x v="0"/>
    <x v="0"/>
    <n v="1"/>
    <x v="0"/>
    <x v="16"/>
    <x v="0"/>
    <x v="16"/>
    <s v="High Humidity"/>
    <x v="20"/>
    <n v="0.28360000000000002"/>
    <n v="0"/>
    <x v="17"/>
    <x v="35"/>
  </r>
  <r>
    <x v="216"/>
    <d v="2011-01-10T00:00:00"/>
    <x v="0"/>
    <x v="0"/>
    <x v="0"/>
    <x v="7"/>
    <x v="0"/>
    <x v="0"/>
    <n v="1"/>
    <x v="0"/>
    <x v="16"/>
    <x v="0"/>
    <x v="16"/>
    <s v="High Humidity"/>
    <x v="20"/>
    <n v="0.22389999999999999"/>
    <n v="2"/>
    <x v="102"/>
    <x v="43"/>
  </r>
  <r>
    <x v="217"/>
    <d v="2011-01-10T00:00:00"/>
    <x v="0"/>
    <x v="0"/>
    <x v="0"/>
    <x v="8"/>
    <x v="0"/>
    <x v="0"/>
    <n v="1"/>
    <x v="1"/>
    <x v="16"/>
    <x v="0"/>
    <x v="16"/>
    <s v="High Humidity"/>
    <x v="20"/>
    <n v="0.28360000000000002"/>
    <n v="4"/>
    <x v="103"/>
    <x v="104"/>
  </r>
  <r>
    <x v="218"/>
    <d v="2011-01-10T00:00:00"/>
    <x v="0"/>
    <x v="0"/>
    <x v="0"/>
    <x v="9"/>
    <x v="0"/>
    <x v="0"/>
    <n v="1"/>
    <x v="1"/>
    <x v="14"/>
    <x v="0"/>
    <x v="16"/>
    <s v="High Humidity"/>
    <x v="20"/>
    <n v="0.25369999999999998"/>
    <n v="2"/>
    <x v="50"/>
    <x v="12"/>
  </r>
  <r>
    <x v="219"/>
    <d v="2011-01-10T00:00:00"/>
    <x v="0"/>
    <x v="0"/>
    <x v="0"/>
    <x v="10"/>
    <x v="0"/>
    <x v="0"/>
    <n v="1"/>
    <x v="1"/>
    <x v="14"/>
    <x v="0"/>
    <x v="16"/>
    <s v="High Humidity"/>
    <x v="20"/>
    <n v="0.29849999999999999"/>
    <n v="0"/>
    <x v="17"/>
    <x v="35"/>
  </r>
  <r>
    <x v="220"/>
    <d v="2011-01-10T00:00:00"/>
    <x v="0"/>
    <x v="0"/>
    <x v="0"/>
    <x v="11"/>
    <x v="0"/>
    <x v="0"/>
    <n v="1"/>
    <x v="1"/>
    <x v="13"/>
    <x v="0"/>
    <x v="14"/>
    <s v="High Humidity"/>
    <x v="19"/>
    <n v="0.28360000000000002"/>
    <n v="2"/>
    <x v="95"/>
    <x v="33"/>
  </r>
  <r>
    <x v="221"/>
    <d v="2011-01-10T00:00:00"/>
    <x v="0"/>
    <x v="0"/>
    <x v="0"/>
    <x v="12"/>
    <x v="0"/>
    <x v="0"/>
    <n v="1"/>
    <x v="1"/>
    <x v="2"/>
    <x v="1"/>
    <x v="18"/>
    <s v="High Humidity"/>
    <x v="22"/>
    <n v="0.28360000000000002"/>
    <n v="5"/>
    <x v="12"/>
    <x v="46"/>
  </r>
  <r>
    <x v="222"/>
    <d v="2011-01-10T00:00:00"/>
    <x v="0"/>
    <x v="0"/>
    <x v="0"/>
    <x v="13"/>
    <x v="0"/>
    <x v="0"/>
    <n v="1"/>
    <x v="1"/>
    <x v="2"/>
    <x v="1"/>
    <x v="18"/>
    <s v="High Humidity"/>
    <x v="22"/>
    <n v="0.28360000000000002"/>
    <n v="4"/>
    <x v="54"/>
    <x v="60"/>
  </r>
  <r>
    <x v="223"/>
    <d v="2011-01-10T00:00:00"/>
    <x v="0"/>
    <x v="0"/>
    <x v="0"/>
    <x v="14"/>
    <x v="0"/>
    <x v="0"/>
    <n v="1"/>
    <x v="1"/>
    <x v="2"/>
    <x v="1"/>
    <x v="13"/>
    <s v="High Humidity"/>
    <x v="22"/>
    <n v="0.22389999999999999"/>
    <n v="0"/>
    <x v="12"/>
    <x v="105"/>
  </r>
  <r>
    <x v="224"/>
    <d v="2011-01-10T00:00:00"/>
    <x v="0"/>
    <x v="0"/>
    <x v="0"/>
    <x v="15"/>
    <x v="0"/>
    <x v="0"/>
    <n v="1"/>
    <x v="1"/>
    <x v="2"/>
    <x v="1"/>
    <x v="13"/>
    <s v="High Humidity"/>
    <x v="22"/>
    <n v="0.22389999999999999"/>
    <n v="2"/>
    <x v="30"/>
    <x v="79"/>
  </r>
  <r>
    <x v="225"/>
    <d v="2011-01-10T00:00:00"/>
    <x v="0"/>
    <x v="0"/>
    <x v="0"/>
    <x v="16"/>
    <x v="0"/>
    <x v="0"/>
    <n v="1"/>
    <x v="0"/>
    <x v="2"/>
    <x v="1"/>
    <x v="12"/>
    <s v="High Humidity"/>
    <x v="22"/>
    <n v="0.1343"/>
    <n v="4"/>
    <x v="14"/>
    <x v="30"/>
  </r>
  <r>
    <x v="226"/>
    <d v="2011-01-10T00:00:00"/>
    <x v="0"/>
    <x v="0"/>
    <x v="0"/>
    <x v="17"/>
    <x v="0"/>
    <x v="0"/>
    <n v="1"/>
    <x v="0"/>
    <x v="2"/>
    <x v="1"/>
    <x v="11"/>
    <s v="High Humidity"/>
    <x v="22"/>
    <n v="0.1045"/>
    <n v="4"/>
    <x v="104"/>
    <x v="106"/>
  </r>
  <r>
    <x v="227"/>
    <d v="2011-01-10T00:00:00"/>
    <x v="0"/>
    <x v="0"/>
    <x v="0"/>
    <x v="18"/>
    <x v="0"/>
    <x v="0"/>
    <n v="1"/>
    <x v="0"/>
    <x v="2"/>
    <x v="1"/>
    <x v="13"/>
    <s v="High Humidity"/>
    <x v="22"/>
    <n v="0.22389999999999999"/>
    <n v="1"/>
    <x v="105"/>
    <x v="107"/>
  </r>
  <r>
    <x v="228"/>
    <d v="2011-01-10T00:00:00"/>
    <x v="0"/>
    <x v="0"/>
    <x v="0"/>
    <x v="19"/>
    <x v="0"/>
    <x v="0"/>
    <n v="1"/>
    <x v="0"/>
    <x v="13"/>
    <x v="0"/>
    <x v="17"/>
    <s v="High Humidity"/>
    <x v="19"/>
    <n v="0.16420000000000001"/>
    <n v="3"/>
    <x v="50"/>
    <x v="76"/>
  </r>
  <r>
    <x v="229"/>
    <d v="2011-01-10T00:00:00"/>
    <x v="0"/>
    <x v="0"/>
    <x v="0"/>
    <x v="20"/>
    <x v="0"/>
    <x v="0"/>
    <n v="1"/>
    <x v="0"/>
    <x v="13"/>
    <x v="0"/>
    <x v="17"/>
    <s v="High Humidity"/>
    <x v="20"/>
    <n v="0.16420000000000001"/>
    <n v="1"/>
    <x v="26"/>
    <x v="30"/>
  </r>
  <r>
    <x v="230"/>
    <d v="2011-01-10T00:00:00"/>
    <x v="0"/>
    <x v="0"/>
    <x v="0"/>
    <x v="21"/>
    <x v="0"/>
    <x v="0"/>
    <n v="1"/>
    <x v="0"/>
    <x v="14"/>
    <x v="0"/>
    <x v="14"/>
    <s v="High Humidity"/>
    <x v="29"/>
    <n v="0.19400000000000001"/>
    <n v="1"/>
    <x v="53"/>
    <x v="103"/>
  </r>
  <r>
    <x v="231"/>
    <d v="2011-01-10T00:00:00"/>
    <x v="0"/>
    <x v="0"/>
    <x v="0"/>
    <x v="22"/>
    <x v="0"/>
    <x v="0"/>
    <n v="1"/>
    <x v="0"/>
    <x v="14"/>
    <x v="0"/>
    <x v="20"/>
    <s v="High Humidity"/>
    <x v="29"/>
    <n v="0.16420000000000001"/>
    <n v="2"/>
    <x v="97"/>
    <x v="108"/>
  </r>
  <r>
    <x v="232"/>
    <d v="2011-01-10T00:00:00"/>
    <x v="0"/>
    <x v="0"/>
    <x v="0"/>
    <x v="23"/>
    <x v="0"/>
    <x v="0"/>
    <n v="1"/>
    <x v="0"/>
    <x v="14"/>
    <x v="0"/>
    <x v="20"/>
    <s v="High Humidity"/>
    <x v="29"/>
    <n v="0.16420000000000001"/>
    <n v="0"/>
    <x v="72"/>
    <x v="109"/>
  </r>
  <r>
    <x v="233"/>
    <d v="2011-01-11T00:00:00"/>
    <x v="0"/>
    <x v="0"/>
    <x v="0"/>
    <x v="0"/>
    <x v="0"/>
    <x v="0"/>
    <n v="2"/>
    <x v="0"/>
    <x v="14"/>
    <x v="0"/>
    <x v="17"/>
    <s v="High Humidity"/>
    <x v="29"/>
    <n v="0.1045"/>
    <n v="2"/>
    <x v="3"/>
    <x v="47"/>
  </r>
  <r>
    <x v="234"/>
    <d v="2011-01-11T00:00:00"/>
    <x v="0"/>
    <x v="0"/>
    <x v="0"/>
    <x v="1"/>
    <x v="0"/>
    <x v="0"/>
    <n v="2"/>
    <x v="0"/>
    <x v="14"/>
    <x v="0"/>
    <x v="20"/>
    <s v="High Humidity"/>
    <x v="29"/>
    <n v="0.16420000000000001"/>
    <n v="0"/>
    <x v="35"/>
    <x v="6"/>
  </r>
  <r>
    <x v="235"/>
    <d v="2011-01-11T00:00:00"/>
    <x v="0"/>
    <x v="0"/>
    <x v="0"/>
    <x v="2"/>
    <x v="0"/>
    <x v="0"/>
    <n v="2"/>
    <x v="1"/>
    <x v="13"/>
    <x v="0"/>
    <x v="20"/>
    <s v="High Humidity"/>
    <x v="28"/>
    <n v="0.19400000000000001"/>
    <n v="0"/>
    <x v="35"/>
    <x v="6"/>
  </r>
  <r>
    <x v="236"/>
    <d v="2011-01-11T00:00:00"/>
    <x v="0"/>
    <x v="0"/>
    <x v="0"/>
    <x v="5"/>
    <x v="0"/>
    <x v="0"/>
    <n v="2"/>
    <x v="1"/>
    <x v="13"/>
    <x v="0"/>
    <x v="18"/>
    <s v="High Humidity"/>
    <x v="28"/>
    <n v="0.1343"/>
    <n v="0"/>
    <x v="8"/>
    <x v="24"/>
  </r>
  <r>
    <x v="237"/>
    <d v="2011-01-11T00:00:00"/>
    <x v="0"/>
    <x v="0"/>
    <x v="0"/>
    <x v="6"/>
    <x v="0"/>
    <x v="0"/>
    <n v="2"/>
    <x v="1"/>
    <x v="13"/>
    <x v="0"/>
    <x v="18"/>
    <s v="High Humidity"/>
    <x v="28"/>
    <n v="0.1343"/>
    <n v="0"/>
    <x v="2"/>
    <x v="110"/>
  </r>
  <r>
    <x v="238"/>
    <d v="2011-01-11T00:00:00"/>
    <x v="0"/>
    <x v="0"/>
    <x v="0"/>
    <x v="7"/>
    <x v="0"/>
    <x v="0"/>
    <n v="2"/>
    <x v="1"/>
    <x v="13"/>
    <x v="0"/>
    <x v="11"/>
    <s v="High Humidity"/>
    <x v="28"/>
    <n v="0"/>
    <n v="2"/>
    <x v="106"/>
    <x v="111"/>
  </r>
  <r>
    <x v="239"/>
    <d v="2011-01-11T00:00:00"/>
    <x v="0"/>
    <x v="0"/>
    <x v="0"/>
    <x v="8"/>
    <x v="0"/>
    <x v="0"/>
    <n v="2"/>
    <x v="1"/>
    <x v="15"/>
    <x v="1"/>
    <x v="12"/>
    <s v="High Humidity"/>
    <x v="33"/>
    <n v="8.9599999999999999E-2"/>
    <n v="3"/>
    <x v="107"/>
    <x v="112"/>
  </r>
  <r>
    <x v="240"/>
    <d v="2011-01-11T00:00:00"/>
    <x v="0"/>
    <x v="0"/>
    <x v="0"/>
    <x v="9"/>
    <x v="0"/>
    <x v="0"/>
    <n v="2"/>
    <x v="1"/>
    <x v="15"/>
    <x v="1"/>
    <x v="13"/>
    <s v="High Humidity"/>
    <x v="33"/>
    <n v="0.16420000000000001"/>
    <n v="3"/>
    <x v="69"/>
    <x v="113"/>
  </r>
  <r>
    <x v="241"/>
    <d v="2011-01-11T00:00:00"/>
    <x v="0"/>
    <x v="0"/>
    <x v="0"/>
    <x v="10"/>
    <x v="0"/>
    <x v="0"/>
    <n v="2"/>
    <x v="1"/>
    <x v="2"/>
    <x v="1"/>
    <x v="12"/>
    <s v="High Humidity"/>
    <x v="33"/>
    <n v="0.16420000000000001"/>
    <n v="3"/>
    <x v="82"/>
    <x v="60"/>
  </r>
  <r>
    <x v="242"/>
    <d v="2011-01-11T00:00:00"/>
    <x v="0"/>
    <x v="0"/>
    <x v="0"/>
    <x v="11"/>
    <x v="0"/>
    <x v="0"/>
    <n v="2"/>
    <x v="1"/>
    <x v="2"/>
    <x v="1"/>
    <x v="12"/>
    <s v="High Humidity"/>
    <x v="19"/>
    <n v="0.1343"/>
    <n v="4"/>
    <x v="17"/>
    <x v="17"/>
  </r>
  <r>
    <x v="243"/>
    <d v="2011-01-11T00:00:00"/>
    <x v="0"/>
    <x v="0"/>
    <x v="0"/>
    <x v="12"/>
    <x v="0"/>
    <x v="0"/>
    <n v="2"/>
    <x v="1"/>
    <x v="2"/>
    <x v="1"/>
    <x v="11"/>
    <s v="High Humidity"/>
    <x v="33"/>
    <n v="0.1045"/>
    <n v="2"/>
    <x v="11"/>
    <x v="52"/>
  </r>
  <r>
    <x v="244"/>
    <d v="2011-01-11T00:00:00"/>
    <x v="0"/>
    <x v="0"/>
    <x v="0"/>
    <x v="13"/>
    <x v="0"/>
    <x v="0"/>
    <n v="2"/>
    <x v="1"/>
    <x v="2"/>
    <x v="1"/>
    <x v="11"/>
    <s v="High Humidity"/>
    <x v="29"/>
    <n v="8.9599999999999999E-2"/>
    <n v="6"/>
    <x v="24"/>
    <x v="46"/>
  </r>
  <r>
    <x v="245"/>
    <d v="2011-01-11T00:00:00"/>
    <x v="0"/>
    <x v="0"/>
    <x v="0"/>
    <x v="14"/>
    <x v="0"/>
    <x v="0"/>
    <n v="2"/>
    <x v="1"/>
    <x v="2"/>
    <x v="1"/>
    <x v="11"/>
    <s v="High Humidity"/>
    <x v="29"/>
    <n v="8.9599999999999999E-2"/>
    <n v="3"/>
    <x v="91"/>
    <x v="55"/>
  </r>
  <r>
    <x v="246"/>
    <d v="2011-01-11T00:00:00"/>
    <x v="0"/>
    <x v="0"/>
    <x v="0"/>
    <x v="15"/>
    <x v="0"/>
    <x v="0"/>
    <n v="2"/>
    <x v="1"/>
    <x v="13"/>
    <x v="0"/>
    <x v="13"/>
    <s v="High Humidity"/>
    <x v="1"/>
    <n v="8.9599999999999999E-2"/>
    <n v="2"/>
    <x v="108"/>
    <x v="105"/>
  </r>
  <r>
    <x v="247"/>
    <d v="2011-01-11T00:00:00"/>
    <x v="0"/>
    <x v="0"/>
    <x v="0"/>
    <x v="16"/>
    <x v="0"/>
    <x v="0"/>
    <n v="2"/>
    <x v="1"/>
    <x v="13"/>
    <x v="0"/>
    <x v="20"/>
    <s v="High Humidity"/>
    <x v="3"/>
    <n v="0.22389999999999999"/>
    <n v="4"/>
    <x v="109"/>
    <x v="31"/>
  </r>
  <r>
    <x v="248"/>
    <d v="2011-01-11T00:00:00"/>
    <x v="0"/>
    <x v="0"/>
    <x v="0"/>
    <x v="17"/>
    <x v="0"/>
    <x v="0"/>
    <n v="2"/>
    <x v="1"/>
    <x v="13"/>
    <x v="0"/>
    <x v="20"/>
    <s v="High Humidity"/>
    <x v="3"/>
    <n v="0.22389999999999999"/>
    <n v="6"/>
    <x v="110"/>
    <x v="114"/>
  </r>
  <r>
    <x v="249"/>
    <d v="2011-01-11T00:00:00"/>
    <x v="0"/>
    <x v="0"/>
    <x v="0"/>
    <x v="18"/>
    <x v="0"/>
    <x v="0"/>
    <n v="2"/>
    <x v="2"/>
    <x v="13"/>
    <x v="0"/>
    <x v="18"/>
    <s v="High Humidity"/>
    <x v="43"/>
    <n v="0.1045"/>
    <n v="1"/>
    <x v="111"/>
    <x v="76"/>
  </r>
  <r>
    <x v="250"/>
    <d v="2011-01-11T00:00:00"/>
    <x v="0"/>
    <x v="0"/>
    <x v="0"/>
    <x v="19"/>
    <x v="0"/>
    <x v="0"/>
    <n v="2"/>
    <x v="2"/>
    <x v="13"/>
    <x v="0"/>
    <x v="11"/>
    <s v="High Humidity"/>
    <x v="43"/>
    <n v="0"/>
    <n v="0"/>
    <x v="82"/>
    <x v="41"/>
  </r>
  <r>
    <x v="251"/>
    <d v="2011-01-11T00:00:00"/>
    <x v="0"/>
    <x v="0"/>
    <x v="0"/>
    <x v="20"/>
    <x v="0"/>
    <x v="0"/>
    <n v="2"/>
    <x v="2"/>
    <x v="13"/>
    <x v="0"/>
    <x v="20"/>
    <s v="High Humidity"/>
    <x v="43"/>
    <n v="0.19400000000000001"/>
    <n v="0"/>
    <x v="1"/>
    <x v="2"/>
  </r>
  <r>
    <x v="252"/>
    <d v="2011-01-11T00:00:00"/>
    <x v="0"/>
    <x v="0"/>
    <x v="0"/>
    <x v="21"/>
    <x v="0"/>
    <x v="0"/>
    <n v="2"/>
    <x v="2"/>
    <x v="13"/>
    <x v="0"/>
    <x v="13"/>
    <s v="High Humidity"/>
    <x v="3"/>
    <n v="8.9599999999999999E-2"/>
    <n v="0"/>
    <x v="32"/>
    <x v="25"/>
  </r>
  <r>
    <x v="253"/>
    <d v="2011-01-11T00:00:00"/>
    <x v="0"/>
    <x v="0"/>
    <x v="0"/>
    <x v="22"/>
    <x v="0"/>
    <x v="0"/>
    <n v="2"/>
    <x v="2"/>
    <x v="13"/>
    <x v="0"/>
    <x v="18"/>
    <s v="High Humidity"/>
    <x v="43"/>
    <n v="0.1045"/>
    <n v="1"/>
    <x v="95"/>
    <x v="115"/>
  </r>
  <r>
    <x v="254"/>
    <d v="2011-01-11T00:00:00"/>
    <x v="0"/>
    <x v="0"/>
    <x v="0"/>
    <x v="23"/>
    <x v="0"/>
    <x v="0"/>
    <n v="2"/>
    <x v="2"/>
    <x v="13"/>
    <x v="0"/>
    <x v="13"/>
    <s v="High Humidity"/>
    <x v="43"/>
    <n v="8.9599999999999999E-2"/>
    <n v="1"/>
    <x v="72"/>
    <x v="75"/>
  </r>
  <r>
    <x v="255"/>
    <d v="2011-01-12T00:00:00"/>
    <x v="0"/>
    <x v="0"/>
    <x v="0"/>
    <x v="0"/>
    <x v="0"/>
    <x v="0"/>
    <n v="3"/>
    <x v="1"/>
    <x v="13"/>
    <x v="0"/>
    <x v="13"/>
    <s v="High Humidity"/>
    <x v="3"/>
    <n v="8.9599999999999999E-2"/>
    <n v="0"/>
    <x v="7"/>
    <x v="85"/>
  </r>
  <r>
    <x v="256"/>
    <d v="2011-01-12T00:00:00"/>
    <x v="0"/>
    <x v="0"/>
    <x v="0"/>
    <x v="1"/>
    <x v="0"/>
    <x v="0"/>
    <n v="3"/>
    <x v="1"/>
    <x v="13"/>
    <x v="0"/>
    <x v="18"/>
    <s v="High Humidity"/>
    <x v="3"/>
    <n v="0.1045"/>
    <n v="0"/>
    <x v="8"/>
    <x v="24"/>
  </r>
  <r>
    <x v="257"/>
    <d v="2011-01-12T00:00:00"/>
    <x v="0"/>
    <x v="0"/>
    <x v="0"/>
    <x v="2"/>
    <x v="0"/>
    <x v="0"/>
    <n v="3"/>
    <x v="0"/>
    <x v="14"/>
    <x v="0"/>
    <x v="20"/>
    <s v="High Humidity"/>
    <x v="3"/>
    <n v="0.1343"/>
    <n v="0"/>
    <x v="4"/>
    <x v="4"/>
  </r>
  <r>
    <x v="258"/>
    <d v="2011-01-12T00:00:00"/>
    <x v="0"/>
    <x v="0"/>
    <x v="0"/>
    <x v="5"/>
    <x v="0"/>
    <x v="0"/>
    <n v="3"/>
    <x v="0"/>
    <x v="14"/>
    <x v="0"/>
    <x v="20"/>
    <s v="High Humidity"/>
    <x v="3"/>
    <n v="0.16420000000000001"/>
    <n v="0"/>
    <x v="34"/>
    <x v="36"/>
  </r>
  <r>
    <x v="259"/>
    <d v="2011-01-12T00:00:00"/>
    <x v="0"/>
    <x v="0"/>
    <x v="0"/>
    <x v="6"/>
    <x v="0"/>
    <x v="0"/>
    <n v="3"/>
    <x v="0"/>
    <x v="16"/>
    <x v="0"/>
    <x v="20"/>
    <s v="High Humidity"/>
    <x v="43"/>
    <n v="0.1343"/>
    <n v="0"/>
    <x v="20"/>
    <x v="0"/>
  </r>
  <r>
    <x v="260"/>
    <d v="2011-01-12T00:00:00"/>
    <x v="0"/>
    <x v="0"/>
    <x v="0"/>
    <x v="7"/>
    <x v="0"/>
    <x v="0"/>
    <n v="3"/>
    <x v="0"/>
    <x v="14"/>
    <x v="0"/>
    <x v="20"/>
    <s v="High Humidity"/>
    <x v="27"/>
    <n v="0.1343"/>
    <n v="0"/>
    <x v="25"/>
    <x v="60"/>
  </r>
  <r>
    <x v="261"/>
    <d v="2011-01-12T00:00:00"/>
    <x v="0"/>
    <x v="0"/>
    <x v="0"/>
    <x v="8"/>
    <x v="0"/>
    <x v="0"/>
    <n v="3"/>
    <x v="0"/>
    <x v="13"/>
    <x v="0"/>
    <x v="17"/>
    <s v="High Humidity"/>
    <x v="29"/>
    <n v="0.16420000000000001"/>
    <n v="3"/>
    <x v="85"/>
    <x v="116"/>
  </r>
  <r>
    <x v="262"/>
    <d v="2011-01-12T00:00:00"/>
    <x v="0"/>
    <x v="0"/>
    <x v="0"/>
    <x v="9"/>
    <x v="0"/>
    <x v="0"/>
    <n v="3"/>
    <x v="0"/>
    <x v="13"/>
    <x v="0"/>
    <x v="14"/>
    <s v="High Humidity"/>
    <x v="29"/>
    <n v="0.32840000000000003"/>
    <n v="3"/>
    <x v="78"/>
    <x v="117"/>
  </r>
  <r>
    <x v="263"/>
    <d v="2011-01-12T00:00:00"/>
    <x v="0"/>
    <x v="0"/>
    <x v="0"/>
    <x v="10"/>
    <x v="0"/>
    <x v="0"/>
    <n v="3"/>
    <x v="0"/>
    <x v="15"/>
    <x v="1"/>
    <x v="18"/>
    <s v="High Humidity"/>
    <x v="28"/>
    <n v="0.22389999999999999"/>
    <n v="0"/>
    <x v="87"/>
    <x v="21"/>
  </r>
  <r>
    <x v="264"/>
    <d v="2011-01-12T00:00:00"/>
    <x v="0"/>
    <x v="0"/>
    <x v="0"/>
    <x v="11"/>
    <x v="0"/>
    <x v="0"/>
    <n v="3"/>
    <x v="0"/>
    <x v="2"/>
    <x v="1"/>
    <x v="18"/>
    <s v="High Humidity"/>
    <x v="33"/>
    <n v="0.3881"/>
    <n v="3"/>
    <x v="1"/>
    <x v="17"/>
  </r>
  <r>
    <x v="265"/>
    <d v="2011-01-12T00:00:00"/>
    <x v="0"/>
    <x v="0"/>
    <x v="0"/>
    <x v="12"/>
    <x v="0"/>
    <x v="0"/>
    <n v="3"/>
    <x v="0"/>
    <x v="2"/>
    <x v="1"/>
    <x v="20"/>
    <s v="High Humidity"/>
    <x v="19"/>
    <n v="0.58209999999999995"/>
    <n v="3"/>
    <x v="15"/>
    <x v="97"/>
  </r>
  <r>
    <x v="266"/>
    <d v="2011-01-12T00:00:00"/>
    <x v="0"/>
    <x v="0"/>
    <x v="0"/>
    <x v="13"/>
    <x v="0"/>
    <x v="0"/>
    <n v="3"/>
    <x v="0"/>
    <x v="1"/>
    <x v="1"/>
    <x v="13"/>
    <s v="High Humidity"/>
    <x v="18"/>
    <n v="0.35820000000000002"/>
    <n v="0"/>
    <x v="47"/>
    <x v="99"/>
  </r>
  <r>
    <x v="267"/>
    <d v="2011-01-12T00:00:00"/>
    <x v="0"/>
    <x v="0"/>
    <x v="0"/>
    <x v="14"/>
    <x v="0"/>
    <x v="0"/>
    <n v="3"/>
    <x v="0"/>
    <x v="2"/>
    <x v="1"/>
    <x v="18"/>
    <s v="High Humidity"/>
    <x v="19"/>
    <n v="0.32840000000000003"/>
    <n v="0"/>
    <x v="100"/>
    <x v="40"/>
  </r>
  <r>
    <x v="268"/>
    <d v="2011-01-12T00:00:00"/>
    <x v="0"/>
    <x v="0"/>
    <x v="0"/>
    <x v="15"/>
    <x v="0"/>
    <x v="0"/>
    <n v="3"/>
    <x v="0"/>
    <x v="2"/>
    <x v="1"/>
    <x v="17"/>
    <s v="High Humidity"/>
    <x v="19"/>
    <n v="0.41789999999999999"/>
    <n v="1"/>
    <x v="41"/>
    <x v="99"/>
  </r>
  <r>
    <x v="269"/>
    <d v="2011-01-12T00:00:00"/>
    <x v="0"/>
    <x v="0"/>
    <x v="0"/>
    <x v="16"/>
    <x v="0"/>
    <x v="0"/>
    <n v="3"/>
    <x v="0"/>
    <x v="1"/>
    <x v="1"/>
    <x v="13"/>
    <s v="High Humidity"/>
    <x v="18"/>
    <n v="0.32840000000000003"/>
    <n v="5"/>
    <x v="36"/>
    <x v="118"/>
  </r>
  <r>
    <x v="270"/>
    <d v="2011-01-12T00:00:00"/>
    <x v="0"/>
    <x v="0"/>
    <x v="0"/>
    <x v="17"/>
    <x v="0"/>
    <x v="0"/>
    <n v="3"/>
    <x v="0"/>
    <x v="2"/>
    <x v="1"/>
    <x v="18"/>
    <s v="High Humidity"/>
    <x v="19"/>
    <n v="0.35820000000000002"/>
    <n v="0"/>
    <x v="112"/>
    <x v="119"/>
  </r>
  <r>
    <x v="271"/>
    <d v="2011-01-12T00:00:00"/>
    <x v="0"/>
    <x v="0"/>
    <x v="0"/>
    <x v="18"/>
    <x v="0"/>
    <x v="0"/>
    <n v="3"/>
    <x v="0"/>
    <x v="2"/>
    <x v="1"/>
    <x v="20"/>
    <s v="High Humidity"/>
    <x v="19"/>
    <n v="0.52239999999999998"/>
    <n v="2"/>
    <x v="113"/>
    <x v="120"/>
  </r>
  <r>
    <x v="272"/>
    <d v="2011-01-12T00:00:00"/>
    <x v="0"/>
    <x v="0"/>
    <x v="0"/>
    <x v="19"/>
    <x v="0"/>
    <x v="0"/>
    <n v="3"/>
    <x v="0"/>
    <x v="15"/>
    <x v="1"/>
    <x v="20"/>
    <s v="High Humidity"/>
    <x v="19"/>
    <n v="0.41789999999999999"/>
    <n v="1"/>
    <x v="70"/>
    <x v="56"/>
  </r>
  <r>
    <x v="273"/>
    <d v="2011-01-12T00:00:00"/>
    <x v="0"/>
    <x v="0"/>
    <x v="0"/>
    <x v="20"/>
    <x v="0"/>
    <x v="0"/>
    <n v="3"/>
    <x v="0"/>
    <x v="13"/>
    <x v="0"/>
    <x v="14"/>
    <s v="High Humidity"/>
    <x v="20"/>
    <n v="0.32840000000000003"/>
    <n v="2"/>
    <x v="25"/>
    <x v="10"/>
  </r>
  <r>
    <x v="274"/>
    <d v="2011-01-12T00:00:00"/>
    <x v="0"/>
    <x v="0"/>
    <x v="0"/>
    <x v="21"/>
    <x v="0"/>
    <x v="0"/>
    <n v="3"/>
    <x v="0"/>
    <x v="13"/>
    <x v="0"/>
    <x v="14"/>
    <s v="High Humidity"/>
    <x v="28"/>
    <n v="0.32840000000000003"/>
    <n v="0"/>
    <x v="77"/>
    <x v="52"/>
  </r>
  <r>
    <x v="275"/>
    <d v="2011-01-12T00:00:00"/>
    <x v="0"/>
    <x v="0"/>
    <x v="0"/>
    <x v="22"/>
    <x v="0"/>
    <x v="0"/>
    <n v="3"/>
    <x v="0"/>
    <x v="13"/>
    <x v="0"/>
    <x v="16"/>
    <s v="High Humidity"/>
    <x v="28"/>
    <n v="0.44779999999999998"/>
    <n v="1"/>
    <x v="1"/>
    <x v="63"/>
  </r>
  <r>
    <x v="276"/>
    <d v="2011-01-12T00:00:00"/>
    <x v="0"/>
    <x v="0"/>
    <x v="0"/>
    <x v="23"/>
    <x v="0"/>
    <x v="0"/>
    <n v="3"/>
    <x v="0"/>
    <x v="14"/>
    <x v="0"/>
    <x v="15"/>
    <s v="High Humidity"/>
    <x v="29"/>
    <n v="0.41789999999999999"/>
    <n v="1"/>
    <x v="23"/>
    <x v="25"/>
  </r>
  <r>
    <x v="277"/>
    <d v="2011-01-13T00:00:00"/>
    <x v="0"/>
    <x v="0"/>
    <x v="0"/>
    <x v="0"/>
    <x v="0"/>
    <x v="0"/>
    <n v="4"/>
    <x v="0"/>
    <x v="14"/>
    <x v="0"/>
    <x v="16"/>
    <s v="High Humidity"/>
    <x v="29"/>
    <n v="0.28360000000000002"/>
    <n v="1"/>
    <x v="8"/>
    <x v="85"/>
  </r>
  <r>
    <x v="278"/>
    <d v="2011-01-13T00:00:00"/>
    <x v="0"/>
    <x v="0"/>
    <x v="0"/>
    <x v="1"/>
    <x v="0"/>
    <x v="0"/>
    <n v="4"/>
    <x v="0"/>
    <x v="14"/>
    <x v="0"/>
    <x v="16"/>
    <s v="High Humidity"/>
    <x v="20"/>
    <n v="0.28360000000000002"/>
    <n v="0"/>
    <x v="6"/>
    <x v="5"/>
  </r>
  <r>
    <x v="279"/>
    <d v="2011-01-13T00:00:00"/>
    <x v="0"/>
    <x v="0"/>
    <x v="0"/>
    <x v="2"/>
    <x v="0"/>
    <x v="0"/>
    <n v="4"/>
    <x v="0"/>
    <x v="14"/>
    <x v="0"/>
    <x v="16"/>
    <s v="High Humidity"/>
    <x v="20"/>
    <n v="0.35820000000000002"/>
    <n v="0"/>
    <x v="6"/>
    <x v="5"/>
  </r>
  <r>
    <x v="280"/>
    <d v="2011-01-13T00:00:00"/>
    <x v="0"/>
    <x v="0"/>
    <x v="0"/>
    <x v="3"/>
    <x v="0"/>
    <x v="0"/>
    <n v="4"/>
    <x v="0"/>
    <x v="14"/>
    <x v="0"/>
    <x v="16"/>
    <s v="High Humidity"/>
    <x v="20"/>
    <n v="0.32840000000000003"/>
    <n v="0"/>
    <x v="35"/>
    <x v="6"/>
  </r>
  <r>
    <x v="281"/>
    <d v="2011-01-13T00:00:00"/>
    <x v="0"/>
    <x v="0"/>
    <x v="0"/>
    <x v="4"/>
    <x v="0"/>
    <x v="0"/>
    <n v="4"/>
    <x v="0"/>
    <x v="14"/>
    <x v="0"/>
    <x v="16"/>
    <s v="High Humidity"/>
    <x v="20"/>
    <n v="0.25369999999999998"/>
    <n v="0"/>
    <x v="22"/>
    <x v="48"/>
  </r>
  <r>
    <x v="282"/>
    <d v="2011-01-13T00:00:00"/>
    <x v="0"/>
    <x v="0"/>
    <x v="0"/>
    <x v="5"/>
    <x v="0"/>
    <x v="0"/>
    <n v="4"/>
    <x v="0"/>
    <x v="14"/>
    <x v="0"/>
    <x v="16"/>
    <s v="High Humidity"/>
    <x v="20"/>
    <n v="0.29849999999999999"/>
    <n v="0"/>
    <x v="35"/>
    <x v="6"/>
  </r>
  <r>
    <x v="283"/>
    <d v="2011-01-13T00:00:00"/>
    <x v="0"/>
    <x v="0"/>
    <x v="0"/>
    <x v="6"/>
    <x v="0"/>
    <x v="0"/>
    <n v="4"/>
    <x v="0"/>
    <x v="16"/>
    <x v="0"/>
    <x v="20"/>
    <s v="High Humidity"/>
    <x v="47"/>
    <n v="0.1343"/>
    <n v="0"/>
    <x v="95"/>
    <x v="20"/>
  </r>
  <r>
    <x v="284"/>
    <d v="2011-01-13T00:00:00"/>
    <x v="0"/>
    <x v="0"/>
    <x v="0"/>
    <x v="7"/>
    <x v="0"/>
    <x v="0"/>
    <n v="4"/>
    <x v="0"/>
    <x v="16"/>
    <x v="0"/>
    <x v="20"/>
    <s v="High Humidity"/>
    <x v="47"/>
    <n v="0.1343"/>
    <n v="0"/>
    <x v="109"/>
    <x v="44"/>
  </r>
  <r>
    <x v="285"/>
    <d v="2011-01-13T00:00:00"/>
    <x v="0"/>
    <x v="0"/>
    <x v="0"/>
    <x v="8"/>
    <x v="0"/>
    <x v="0"/>
    <n v="4"/>
    <x v="0"/>
    <x v="14"/>
    <x v="0"/>
    <x v="14"/>
    <s v="High Humidity"/>
    <x v="20"/>
    <n v="0.19400000000000001"/>
    <n v="5"/>
    <x v="114"/>
    <x v="121"/>
  </r>
  <r>
    <x v="286"/>
    <d v="2011-01-13T00:00:00"/>
    <x v="0"/>
    <x v="0"/>
    <x v="0"/>
    <x v="9"/>
    <x v="0"/>
    <x v="0"/>
    <n v="4"/>
    <x v="0"/>
    <x v="14"/>
    <x v="0"/>
    <x v="16"/>
    <s v="High Humidity"/>
    <x v="20"/>
    <n v="0.32840000000000003"/>
    <n v="2"/>
    <x v="115"/>
    <x v="119"/>
  </r>
  <r>
    <x v="287"/>
    <d v="2011-01-13T00:00:00"/>
    <x v="0"/>
    <x v="0"/>
    <x v="0"/>
    <x v="10"/>
    <x v="0"/>
    <x v="0"/>
    <n v="4"/>
    <x v="1"/>
    <x v="13"/>
    <x v="0"/>
    <x v="14"/>
    <s v="High Humidity"/>
    <x v="20"/>
    <n v="0.35820000000000002"/>
    <n v="2"/>
    <x v="49"/>
    <x v="103"/>
  </r>
  <r>
    <x v="288"/>
    <d v="2011-01-13T00:00:00"/>
    <x v="0"/>
    <x v="0"/>
    <x v="0"/>
    <x v="11"/>
    <x v="0"/>
    <x v="0"/>
    <n v="4"/>
    <x v="1"/>
    <x v="2"/>
    <x v="1"/>
    <x v="17"/>
    <s v="High Humidity"/>
    <x v="18"/>
    <n v="0.44779999999999998"/>
    <n v="4"/>
    <x v="39"/>
    <x v="18"/>
  </r>
  <r>
    <x v="289"/>
    <d v="2011-01-13T00:00:00"/>
    <x v="0"/>
    <x v="0"/>
    <x v="0"/>
    <x v="12"/>
    <x v="0"/>
    <x v="0"/>
    <n v="4"/>
    <x v="0"/>
    <x v="2"/>
    <x v="1"/>
    <x v="17"/>
    <s v="High Humidity"/>
    <x v="18"/>
    <n v="0.41789999999999999"/>
    <n v="3"/>
    <x v="47"/>
    <x v="46"/>
  </r>
  <r>
    <x v="290"/>
    <d v="2011-01-13T00:00:00"/>
    <x v="0"/>
    <x v="0"/>
    <x v="0"/>
    <x v="13"/>
    <x v="0"/>
    <x v="0"/>
    <n v="4"/>
    <x v="0"/>
    <x v="1"/>
    <x v="1"/>
    <x v="13"/>
    <s v="High Humidity"/>
    <x v="48"/>
    <n v="0.44779999999999998"/>
    <n v="2"/>
    <x v="38"/>
    <x v="56"/>
  </r>
  <r>
    <x v="291"/>
    <d v="2011-01-13T00:00:00"/>
    <x v="0"/>
    <x v="0"/>
    <x v="0"/>
    <x v="14"/>
    <x v="0"/>
    <x v="0"/>
    <n v="4"/>
    <x v="0"/>
    <x v="1"/>
    <x v="1"/>
    <x v="13"/>
    <s v="High Humidity"/>
    <x v="48"/>
    <n v="0.3881"/>
    <n v="3"/>
    <x v="87"/>
    <x v="51"/>
  </r>
  <r>
    <x v="292"/>
    <d v="2011-01-13T00:00:00"/>
    <x v="0"/>
    <x v="0"/>
    <x v="0"/>
    <x v="15"/>
    <x v="0"/>
    <x v="0"/>
    <n v="4"/>
    <x v="0"/>
    <x v="0"/>
    <x v="1"/>
    <x v="12"/>
    <s v="High Humidity"/>
    <x v="41"/>
    <n v="0.29849999999999999"/>
    <n v="5"/>
    <x v="11"/>
    <x v="122"/>
  </r>
  <r>
    <x v="293"/>
    <d v="2011-01-13T00:00:00"/>
    <x v="0"/>
    <x v="0"/>
    <x v="0"/>
    <x v="16"/>
    <x v="0"/>
    <x v="0"/>
    <n v="4"/>
    <x v="0"/>
    <x v="0"/>
    <x v="1"/>
    <x v="12"/>
    <s v="High Humidity"/>
    <x v="41"/>
    <n v="0.35820000000000002"/>
    <n v="2"/>
    <x v="83"/>
    <x v="53"/>
  </r>
  <r>
    <x v="294"/>
    <d v="2011-01-13T00:00:00"/>
    <x v="0"/>
    <x v="0"/>
    <x v="0"/>
    <x v="17"/>
    <x v="0"/>
    <x v="0"/>
    <n v="4"/>
    <x v="0"/>
    <x v="2"/>
    <x v="1"/>
    <x v="18"/>
    <s v="High Humidity"/>
    <x v="22"/>
    <n v="0.28360000000000002"/>
    <n v="4"/>
    <x v="81"/>
    <x v="123"/>
  </r>
  <r>
    <x v="295"/>
    <d v="2011-01-13T00:00:00"/>
    <x v="0"/>
    <x v="0"/>
    <x v="0"/>
    <x v="18"/>
    <x v="0"/>
    <x v="0"/>
    <n v="4"/>
    <x v="0"/>
    <x v="2"/>
    <x v="1"/>
    <x v="18"/>
    <s v="High Humidity"/>
    <x v="22"/>
    <n v="0.32840000000000003"/>
    <n v="3"/>
    <x v="116"/>
    <x v="124"/>
  </r>
  <r>
    <x v="296"/>
    <d v="2011-01-13T00:00:00"/>
    <x v="0"/>
    <x v="0"/>
    <x v="0"/>
    <x v="19"/>
    <x v="0"/>
    <x v="0"/>
    <n v="4"/>
    <x v="0"/>
    <x v="13"/>
    <x v="0"/>
    <x v="20"/>
    <s v="High Humidity"/>
    <x v="19"/>
    <n v="0.25369999999999998"/>
    <n v="1"/>
    <x v="52"/>
    <x v="111"/>
  </r>
  <r>
    <x v="297"/>
    <d v="2011-01-13T00:00:00"/>
    <x v="0"/>
    <x v="0"/>
    <x v="0"/>
    <x v="20"/>
    <x v="0"/>
    <x v="0"/>
    <n v="4"/>
    <x v="0"/>
    <x v="13"/>
    <x v="0"/>
    <x v="20"/>
    <s v="High Humidity"/>
    <x v="19"/>
    <n v="0.22389999999999999"/>
    <n v="0"/>
    <x v="27"/>
    <x v="37"/>
  </r>
  <r>
    <x v="298"/>
    <d v="2011-01-13T00:00:00"/>
    <x v="0"/>
    <x v="0"/>
    <x v="0"/>
    <x v="21"/>
    <x v="0"/>
    <x v="0"/>
    <n v="4"/>
    <x v="0"/>
    <x v="14"/>
    <x v="0"/>
    <x v="16"/>
    <s v="High Humidity"/>
    <x v="15"/>
    <n v="0.29849999999999999"/>
    <n v="0"/>
    <x v="71"/>
    <x v="1"/>
  </r>
  <r>
    <x v="299"/>
    <d v="2011-01-13T00:00:00"/>
    <x v="0"/>
    <x v="0"/>
    <x v="0"/>
    <x v="22"/>
    <x v="0"/>
    <x v="0"/>
    <n v="4"/>
    <x v="0"/>
    <x v="14"/>
    <x v="0"/>
    <x v="16"/>
    <s v="High Humidity"/>
    <x v="15"/>
    <n v="0.32840000000000003"/>
    <n v="0"/>
    <x v="10"/>
    <x v="33"/>
  </r>
  <r>
    <x v="300"/>
    <d v="2011-01-13T00:00:00"/>
    <x v="0"/>
    <x v="0"/>
    <x v="0"/>
    <x v="23"/>
    <x v="0"/>
    <x v="0"/>
    <n v="4"/>
    <x v="0"/>
    <x v="16"/>
    <x v="0"/>
    <x v="14"/>
    <s v="High Humidity"/>
    <x v="20"/>
    <n v="0.19400000000000001"/>
    <n v="1"/>
    <x v="88"/>
    <x v="93"/>
  </r>
  <r>
    <x v="301"/>
    <d v="2011-01-14T00:00:00"/>
    <x v="0"/>
    <x v="0"/>
    <x v="0"/>
    <x v="0"/>
    <x v="0"/>
    <x v="0"/>
    <n v="5"/>
    <x v="0"/>
    <x v="16"/>
    <x v="0"/>
    <x v="14"/>
    <s v="High Humidity"/>
    <x v="20"/>
    <n v="0.19400000000000001"/>
    <n v="0"/>
    <x v="88"/>
    <x v="8"/>
  </r>
  <r>
    <x v="302"/>
    <d v="2011-01-14T00:00:00"/>
    <x v="0"/>
    <x v="0"/>
    <x v="0"/>
    <x v="1"/>
    <x v="0"/>
    <x v="0"/>
    <n v="5"/>
    <x v="0"/>
    <x v="18"/>
    <x v="0"/>
    <x v="16"/>
    <s v="High Humidity"/>
    <x v="47"/>
    <n v="0.16420000000000001"/>
    <n v="0"/>
    <x v="34"/>
    <x v="36"/>
  </r>
  <r>
    <x v="303"/>
    <d v="2011-01-14T00:00:00"/>
    <x v="0"/>
    <x v="0"/>
    <x v="0"/>
    <x v="2"/>
    <x v="0"/>
    <x v="0"/>
    <n v="5"/>
    <x v="0"/>
    <x v="18"/>
    <x v="0"/>
    <x v="16"/>
    <s v="High Humidity"/>
    <x v="47"/>
    <n v="0.1343"/>
    <n v="0"/>
    <x v="4"/>
    <x v="4"/>
  </r>
  <r>
    <x v="304"/>
    <d v="2011-01-14T00:00:00"/>
    <x v="0"/>
    <x v="0"/>
    <x v="0"/>
    <x v="3"/>
    <x v="0"/>
    <x v="0"/>
    <n v="5"/>
    <x v="0"/>
    <x v="18"/>
    <x v="0"/>
    <x v="14"/>
    <s v="High Humidity"/>
    <x v="47"/>
    <n v="0.1045"/>
    <n v="0"/>
    <x v="4"/>
    <x v="4"/>
  </r>
  <r>
    <x v="305"/>
    <d v="2011-01-14T00:00:00"/>
    <x v="0"/>
    <x v="0"/>
    <x v="0"/>
    <x v="5"/>
    <x v="0"/>
    <x v="0"/>
    <n v="5"/>
    <x v="0"/>
    <x v="18"/>
    <x v="0"/>
    <x v="14"/>
    <s v="High Humidity"/>
    <x v="47"/>
    <n v="8.9599999999999999E-2"/>
    <n v="0"/>
    <x v="21"/>
    <x v="7"/>
  </r>
  <r>
    <x v="306"/>
    <d v="2011-01-14T00:00:00"/>
    <x v="0"/>
    <x v="0"/>
    <x v="0"/>
    <x v="6"/>
    <x v="0"/>
    <x v="0"/>
    <n v="5"/>
    <x v="0"/>
    <x v="18"/>
    <x v="0"/>
    <x v="18"/>
    <s v="High Humidity"/>
    <x v="47"/>
    <n v="0"/>
    <n v="0"/>
    <x v="19"/>
    <x v="22"/>
  </r>
  <r>
    <x v="307"/>
    <d v="2011-01-14T00:00:00"/>
    <x v="0"/>
    <x v="0"/>
    <x v="0"/>
    <x v="7"/>
    <x v="0"/>
    <x v="0"/>
    <n v="5"/>
    <x v="0"/>
    <x v="18"/>
    <x v="0"/>
    <x v="16"/>
    <s v="High Humidity"/>
    <x v="32"/>
    <n v="0.16420000000000001"/>
    <n v="0"/>
    <x v="14"/>
    <x v="27"/>
  </r>
  <r>
    <x v="308"/>
    <d v="2011-01-14T00:00:00"/>
    <x v="0"/>
    <x v="0"/>
    <x v="0"/>
    <x v="8"/>
    <x v="0"/>
    <x v="0"/>
    <n v="5"/>
    <x v="0"/>
    <x v="16"/>
    <x v="0"/>
    <x v="17"/>
    <s v="High Humidity"/>
    <x v="31"/>
    <n v="0"/>
    <n v="2"/>
    <x v="117"/>
    <x v="125"/>
  </r>
  <r>
    <x v="309"/>
    <d v="2011-01-14T00:00:00"/>
    <x v="0"/>
    <x v="0"/>
    <x v="0"/>
    <x v="9"/>
    <x v="0"/>
    <x v="0"/>
    <n v="5"/>
    <x v="0"/>
    <x v="14"/>
    <x v="0"/>
    <x v="20"/>
    <s v="High Humidity"/>
    <x v="27"/>
    <n v="0.1343"/>
    <n v="0"/>
    <x v="118"/>
    <x v="126"/>
  </r>
  <r>
    <x v="310"/>
    <d v="2011-01-14T00:00:00"/>
    <x v="0"/>
    <x v="0"/>
    <x v="0"/>
    <x v="10"/>
    <x v="0"/>
    <x v="0"/>
    <n v="5"/>
    <x v="0"/>
    <x v="15"/>
    <x v="1"/>
    <x v="18"/>
    <s v="High Humidity"/>
    <x v="28"/>
    <n v="0.19400000000000001"/>
    <n v="4"/>
    <x v="71"/>
    <x v="40"/>
  </r>
  <r>
    <x v="311"/>
    <d v="2011-01-14T00:00:00"/>
    <x v="0"/>
    <x v="0"/>
    <x v="0"/>
    <x v="11"/>
    <x v="0"/>
    <x v="0"/>
    <n v="5"/>
    <x v="0"/>
    <x v="15"/>
    <x v="1"/>
    <x v="17"/>
    <s v="High Humidity"/>
    <x v="33"/>
    <n v="0.28360000000000002"/>
    <n v="6"/>
    <x v="12"/>
    <x v="26"/>
  </r>
  <r>
    <x v="312"/>
    <d v="2011-01-14T00:00:00"/>
    <x v="0"/>
    <x v="0"/>
    <x v="0"/>
    <x v="12"/>
    <x v="0"/>
    <x v="0"/>
    <n v="5"/>
    <x v="0"/>
    <x v="2"/>
    <x v="1"/>
    <x v="13"/>
    <s v="High Humidity"/>
    <x v="18"/>
    <n v="0.25369999999999998"/>
    <n v="2"/>
    <x v="79"/>
    <x v="42"/>
  </r>
  <r>
    <x v="313"/>
    <d v="2011-01-14T00:00:00"/>
    <x v="0"/>
    <x v="0"/>
    <x v="0"/>
    <x v="13"/>
    <x v="0"/>
    <x v="0"/>
    <n v="5"/>
    <x v="0"/>
    <x v="1"/>
    <x v="1"/>
    <x v="13"/>
    <s v="High Humidity"/>
    <x v="38"/>
    <n v="0.3881"/>
    <n v="4"/>
    <x v="26"/>
    <x v="43"/>
  </r>
  <r>
    <x v="314"/>
    <d v="2011-01-14T00:00:00"/>
    <x v="0"/>
    <x v="0"/>
    <x v="0"/>
    <x v="14"/>
    <x v="0"/>
    <x v="0"/>
    <n v="5"/>
    <x v="0"/>
    <x v="1"/>
    <x v="1"/>
    <x v="12"/>
    <s v="High Humidity"/>
    <x v="48"/>
    <n v="0.28360000000000002"/>
    <n v="5"/>
    <x v="79"/>
    <x v="37"/>
  </r>
  <r>
    <x v="315"/>
    <d v="2011-01-14T00:00:00"/>
    <x v="0"/>
    <x v="0"/>
    <x v="0"/>
    <x v="15"/>
    <x v="0"/>
    <x v="0"/>
    <n v="5"/>
    <x v="0"/>
    <x v="0"/>
    <x v="1"/>
    <x v="19"/>
    <s v="High Humidity"/>
    <x v="41"/>
    <n v="0.16420000000000001"/>
    <n v="9"/>
    <x v="79"/>
    <x v="118"/>
  </r>
  <r>
    <x v="316"/>
    <d v="2011-01-14T00:00:00"/>
    <x v="0"/>
    <x v="0"/>
    <x v="0"/>
    <x v="16"/>
    <x v="0"/>
    <x v="0"/>
    <n v="5"/>
    <x v="0"/>
    <x v="1"/>
    <x v="1"/>
    <x v="19"/>
    <s v="High Humidity"/>
    <x v="48"/>
    <n v="0.1045"/>
    <n v="3"/>
    <x v="61"/>
    <x v="127"/>
  </r>
  <r>
    <x v="317"/>
    <d v="2011-01-14T00:00:00"/>
    <x v="0"/>
    <x v="0"/>
    <x v="0"/>
    <x v="17"/>
    <x v="0"/>
    <x v="0"/>
    <n v="5"/>
    <x v="0"/>
    <x v="1"/>
    <x v="1"/>
    <x v="11"/>
    <s v="High Humidity"/>
    <x v="48"/>
    <n v="0.16420000000000001"/>
    <n v="4"/>
    <x v="119"/>
    <x v="128"/>
  </r>
  <r>
    <x v="318"/>
    <d v="2011-01-14T00:00:00"/>
    <x v="0"/>
    <x v="0"/>
    <x v="0"/>
    <x v="18"/>
    <x v="0"/>
    <x v="0"/>
    <n v="5"/>
    <x v="0"/>
    <x v="2"/>
    <x v="1"/>
    <x v="2"/>
    <s v="High Humidity"/>
    <x v="19"/>
    <n v="0"/>
    <n v="5"/>
    <x v="120"/>
    <x v="119"/>
  </r>
  <r>
    <x v="319"/>
    <d v="2011-01-14T00:00:00"/>
    <x v="0"/>
    <x v="0"/>
    <x v="0"/>
    <x v="19"/>
    <x v="0"/>
    <x v="0"/>
    <n v="5"/>
    <x v="0"/>
    <x v="13"/>
    <x v="0"/>
    <x v="13"/>
    <s v="High Humidity"/>
    <x v="29"/>
    <n v="8.9599999999999999E-2"/>
    <n v="3"/>
    <x v="121"/>
    <x v="101"/>
  </r>
  <r>
    <x v="320"/>
    <d v="2011-01-14T00:00:00"/>
    <x v="0"/>
    <x v="0"/>
    <x v="0"/>
    <x v="20"/>
    <x v="0"/>
    <x v="0"/>
    <n v="5"/>
    <x v="0"/>
    <x v="15"/>
    <x v="1"/>
    <x v="19"/>
    <s v="High Humidity"/>
    <x v="29"/>
    <n v="0"/>
    <n v="0"/>
    <x v="56"/>
    <x v="118"/>
  </r>
  <r>
    <x v="321"/>
    <d v="2011-01-14T00:00:00"/>
    <x v="0"/>
    <x v="0"/>
    <x v="0"/>
    <x v="21"/>
    <x v="0"/>
    <x v="0"/>
    <n v="5"/>
    <x v="0"/>
    <x v="13"/>
    <x v="0"/>
    <x v="11"/>
    <s v="High Humidity"/>
    <x v="27"/>
    <n v="0"/>
    <n v="4"/>
    <x v="41"/>
    <x v="46"/>
  </r>
  <r>
    <x v="322"/>
    <d v="2011-01-14T00:00:00"/>
    <x v="0"/>
    <x v="0"/>
    <x v="0"/>
    <x v="22"/>
    <x v="0"/>
    <x v="0"/>
    <n v="5"/>
    <x v="1"/>
    <x v="13"/>
    <x v="0"/>
    <x v="11"/>
    <s v="High Humidity"/>
    <x v="27"/>
    <n v="0"/>
    <n v="2"/>
    <x v="60"/>
    <x v="9"/>
  </r>
  <r>
    <x v="323"/>
    <d v="2011-01-14T00:00:00"/>
    <x v="0"/>
    <x v="0"/>
    <x v="0"/>
    <x v="23"/>
    <x v="0"/>
    <x v="0"/>
    <n v="5"/>
    <x v="1"/>
    <x v="15"/>
    <x v="1"/>
    <x v="19"/>
    <s v="High Humidity"/>
    <x v="28"/>
    <n v="0"/>
    <n v="1"/>
    <x v="16"/>
    <x v="110"/>
  </r>
  <r>
    <x v="324"/>
    <d v="2011-01-15T00:00:00"/>
    <x v="0"/>
    <x v="0"/>
    <x v="0"/>
    <x v="0"/>
    <x v="0"/>
    <x v="0"/>
    <n v="6"/>
    <x v="0"/>
    <x v="15"/>
    <x v="1"/>
    <x v="19"/>
    <s v="High Humidity"/>
    <x v="28"/>
    <n v="0"/>
    <n v="3"/>
    <x v="18"/>
    <x v="20"/>
  </r>
  <r>
    <x v="325"/>
    <d v="2011-01-15T00:00:00"/>
    <x v="0"/>
    <x v="0"/>
    <x v="0"/>
    <x v="1"/>
    <x v="0"/>
    <x v="0"/>
    <n v="6"/>
    <x v="1"/>
    <x v="13"/>
    <x v="0"/>
    <x v="13"/>
    <s v="High Humidity"/>
    <x v="29"/>
    <n v="8.9599999999999999E-2"/>
    <n v="2"/>
    <x v="72"/>
    <x v="25"/>
  </r>
  <r>
    <x v="326"/>
    <d v="2011-01-15T00:00:00"/>
    <x v="0"/>
    <x v="0"/>
    <x v="0"/>
    <x v="2"/>
    <x v="0"/>
    <x v="0"/>
    <n v="6"/>
    <x v="1"/>
    <x v="13"/>
    <x v="0"/>
    <x v="13"/>
    <s v="High Humidity"/>
    <x v="29"/>
    <n v="8.9599999999999999E-2"/>
    <n v="0"/>
    <x v="98"/>
    <x v="47"/>
  </r>
  <r>
    <x v="327"/>
    <d v="2011-01-15T00:00:00"/>
    <x v="0"/>
    <x v="0"/>
    <x v="0"/>
    <x v="3"/>
    <x v="0"/>
    <x v="0"/>
    <n v="6"/>
    <x v="1"/>
    <x v="13"/>
    <x v="0"/>
    <x v="11"/>
    <s v="High Humidity"/>
    <x v="29"/>
    <n v="0"/>
    <n v="1"/>
    <x v="7"/>
    <x v="7"/>
  </r>
  <r>
    <x v="328"/>
    <d v="2011-01-15T00:00:00"/>
    <x v="0"/>
    <x v="0"/>
    <x v="0"/>
    <x v="4"/>
    <x v="0"/>
    <x v="0"/>
    <n v="6"/>
    <x v="1"/>
    <x v="13"/>
    <x v="0"/>
    <x v="11"/>
    <s v="High Humidity"/>
    <x v="29"/>
    <n v="0"/>
    <n v="0"/>
    <x v="34"/>
    <x v="36"/>
  </r>
  <r>
    <x v="329"/>
    <d v="2011-01-15T00:00:00"/>
    <x v="0"/>
    <x v="0"/>
    <x v="0"/>
    <x v="5"/>
    <x v="0"/>
    <x v="0"/>
    <n v="6"/>
    <x v="0"/>
    <x v="13"/>
    <x v="0"/>
    <x v="11"/>
    <s v="High Humidity"/>
    <x v="29"/>
    <n v="0"/>
    <n v="0"/>
    <x v="4"/>
    <x v="4"/>
  </r>
  <r>
    <x v="330"/>
    <d v="2011-01-15T00:00:00"/>
    <x v="0"/>
    <x v="0"/>
    <x v="0"/>
    <x v="6"/>
    <x v="0"/>
    <x v="0"/>
    <n v="6"/>
    <x v="0"/>
    <x v="14"/>
    <x v="0"/>
    <x v="17"/>
    <s v="High Humidity"/>
    <x v="30"/>
    <n v="0.1045"/>
    <n v="1"/>
    <x v="6"/>
    <x v="6"/>
  </r>
  <r>
    <x v="331"/>
    <d v="2011-01-15T00:00:00"/>
    <x v="0"/>
    <x v="0"/>
    <x v="0"/>
    <x v="7"/>
    <x v="0"/>
    <x v="0"/>
    <n v="6"/>
    <x v="0"/>
    <x v="14"/>
    <x v="0"/>
    <x v="12"/>
    <s v="High Humidity"/>
    <x v="30"/>
    <n v="0"/>
    <n v="1"/>
    <x v="33"/>
    <x v="98"/>
  </r>
  <r>
    <x v="332"/>
    <d v="2011-01-15T00:00:00"/>
    <x v="0"/>
    <x v="0"/>
    <x v="0"/>
    <x v="8"/>
    <x v="0"/>
    <x v="0"/>
    <n v="6"/>
    <x v="0"/>
    <x v="14"/>
    <x v="0"/>
    <x v="20"/>
    <s v="High Humidity"/>
    <x v="30"/>
    <n v="0.1343"/>
    <n v="1"/>
    <x v="97"/>
    <x v="84"/>
  </r>
  <r>
    <x v="333"/>
    <d v="2011-01-15T00:00:00"/>
    <x v="0"/>
    <x v="0"/>
    <x v="0"/>
    <x v="9"/>
    <x v="0"/>
    <x v="0"/>
    <n v="6"/>
    <x v="0"/>
    <x v="13"/>
    <x v="0"/>
    <x v="18"/>
    <s v="High Humidity"/>
    <x v="26"/>
    <n v="0.1343"/>
    <n v="2"/>
    <x v="17"/>
    <x v="63"/>
  </r>
  <r>
    <x v="334"/>
    <d v="2011-01-15T00:00:00"/>
    <x v="0"/>
    <x v="0"/>
    <x v="0"/>
    <x v="10"/>
    <x v="0"/>
    <x v="0"/>
    <n v="6"/>
    <x v="0"/>
    <x v="15"/>
    <x v="1"/>
    <x v="13"/>
    <s v="High Humidity"/>
    <x v="29"/>
    <n v="0.16420000000000001"/>
    <n v="2"/>
    <x v="77"/>
    <x v="29"/>
  </r>
  <r>
    <x v="335"/>
    <d v="2011-01-15T00:00:00"/>
    <x v="0"/>
    <x v="0"/>
    <x v="0"/>
    <x v="11"/>
    <x v="0"/>
    <x v="0"/>
    <n v="6"/>
    <x v="0"/>
    <x v="2"/>
    <x v="1"/>
    <x v="13"/>
    <s v="High Humidity"/>
    <x v="28"/>
    <n v="0.22389999999999999"/>
    <n v="18"/>
    <x v="25"/>
    <x v="44"/>
  </r>
  <r>
    <x v="336"/>
    <d v="2011-01-15T00:00:00"/>
    <x v="0"/>
    <x v="0"/>
    <x v="0"/>
    <x v="12"/>
    <x v="0"/>
    <x v="0"/>
    <n v="6"/>
    <x v="0"/>
    <x v="0"/>
    <x v="1"/>
    <x v="11"/>
    <s v="High Humidity"/>
    <x v="37"/>
    <n v="0.22389999999999999"/>
    <n v="15"/>
    <x v="64"/>
    <x v="70"/>
  </r>
  <r>
    <x v="337"/>
    <d v="2011-01-15T00:00:00"/>
    <x v="0"/>
    <x v="0"/>
    <x v="0"/>
    <x v="13"/>
    <x v="0"/>
    <x v="0"/>
    <n v="6"/>
    <x v="0"/>
    <x v="17"/>
    <x v="1"/>
    <x v="2"/>
    <s v="High Humidity"/>
    <x v="41"/>
    <n v="0.29849999999999999"/>
    <n v="21"/>
    <x v="122"/>
    <x v="129"/>
  </r>
  <r>
    <x v="338"/>
    <d v="2011-01-15T00:00:00"/>
    <x v="0"/>
    <x v="0"/>
    <x v="0"/>
    <x v="14"/>
    <x v="0"/>
    <x v="0"/>
    <n v="6"/>
    <x v="0"/>
    <x v="11"/>
    <x v="1"/>
    <x v="0"/>
    <s v="High Humidity"/>
    <x v="17"/>
    <n v="0.28360000000000002"/>
    <n v="26"/>
    <x v="50"/>
    <x v="130"/>
  </r>
  <r>
    <x v="339"/>
    <d v="2011-01-15T00:00:00"/>
    <x v="0"/>
    <x v="0"/>
    <x v="0"/>
    <x v="15"/>
    <x v="0"/>
    <x v="0"/>
    <n v="6"/>
    <x v="1"/>
    <x v="3"/>
    <x v="1"/>
    <x v="21"/>
    <s v="High Humidity"/>
    <x v="42"/>
    <n v="0.19400000000000001"/>
    <n v="21"/>
    <x v="123"/>
    <x v="131"/>
  </r>
  <r>
    <x v="340"/>
    <d v="2011-01-15T00:00:00"/>
    <x v="0"/>
    <x v="0"/>
    <x v="0"/>
    <x v="16"/>
    <x v="0"/>
    <x v="0"/>
    <n v="6"/>
    <x v="1"/>
    <x v="10"/>
    <x v="1"/>
    <x v="6"/>
    <s v="High Humidity"/>
    <x v="46"/>
    <n v="0.19400000000000001"/>
    <n v="33"/>
    <x v="73"/>
    <x v="116"/>
  </r>
  <r>
    <x v="341"/>
    <d v="2011-01-15T00:00:00"/>
    <x v="0"/>
    <x v="0"/>
    <x v="0"/>
    <x v="17"/>
    <x v="0"/>
    <x v="0"/>
    <n v="6"/>
    <x v="1"/>
    <x v="3"/>
    <x v="1"/>
    <x v="25"/>
    <s v="High Humidity"/>
    <x v="42"/>
    <n v="0.28360000000000002"/>
    <n v="29"/>
    <x v="25"/>
    <x v="56"/>
  </r>
  <r>
    <x v="342"/>
    <d v="2011-01-15T00:00:00"/>
    <x v="0"/>
    <x v="0"/>
    <x v="0"/>
    <x v="18"/>
    <x v="0"/>
    <x v="0"/>
    <n v="6"/>
    <x v="1"/>
    <x v="11"/>
    <x v="1"/>
    <x v="0"/>
    <s v="High Humidity"/>
    <x v="49"/>
    <n v="0.25369999999999998"/>
    <n v="15"/>
    <x v="94"/>
    <x v="11"/>
  </r>
  <r>
    <x v="343"/>
    <d v="2011-01-15T00:00:00"/>
    <x v="0"/>
    <x v="0"/>
    <x v="0"/>
    <x v="19"/>
    <x v="0"/>
    <x v="0"/>
    <n v="6"/>
    <x v="1"/>
    <x v="3"/>
    <x v="1"/>
    <x v="25"/>
    <s v="High Humidity"/>
    <x v="17"/>
    <n v="0.25369999999999998"/>
    <n v="14"/>
    <x v="91"/>
    <x v="30"/>
  </r>
  <r>
    <x v="344"/>
    <d v="2011-01-15T00:00:00"/>
    <x v="0"/>
    <x v="0"/>
    <x v="0"/>
    <x v="20"/>
    <x v="0"/>
    <x v="0"/>
    <n v="6"/>
    <x v="1"/>
    <x v="3"/>
    <x v="1"/>
    <x v="25"/>
    <s v="High Humidity"/>
    <x v="17"/>
    <n v="0.25369999999999998"/>
    <n v="6"/>
    <x v="96"/>
    <x v="102"/>
  </r>
  <r>
    <x v="345"/>
    <d v="2011-01-15T00:00:00"/>
    <x v="0"/>
    <x v="0"/>
    <x v="0"/>
    <x v="21"/>
    <x v="0"/>
    <x v="0"/>
    <n v="6"/>
    <x v="1"/>
    <x v="3"/>
    <x v="1"/>
    <x v="25"/>
    <s v="High Humidity"/>
    <x v="17"/>
    <n v="0.22389999999999999"/>
    <n v="6"/>
    <x v="82"/>
    <x v="52"/>
  </r>
  <r>
    <x v="346"/>
    <d v="2011-01-15T00:00:00"/>
    <x v="0"/>
    <x v="0"/>
    <x v="0"/>
    <x v="22"/>
    <x v="0"/>
    <x v="0"/>
    <n v="6"/>
    <x v="1"/>
    <x v="11"/>
    <x v="1"/>
    <x v="21"/>
    <s v="High Humidity"/>
    <x v="16"/>
    <n v="0.1045"/>
    <n v="0"/>
    <x v="16"/>
    <x v="132"/>
  </r>
  <r>
    <x v="347"/>
    <d v="2011-01-15T00:00:00"/>
    <x v="0"/>
    <x v="0"/>
    <x v="0"/>
    <x v="23"/>
    <x v="0"/>
    <x v="0"/>
    <n v="6"/>
    <x v="0"/>
    <x v="11"/>
    <x v="1"/>
    <x v="0"/>
    <s v="High Humidity"/>
    <x v="49"/>
    <n v="0.28360000000000002"/>
    <n v="5"/>
    <x v="87"/>
    <x v="40"/>
  </r>
  <r>
    <x v="348"/>
    <d v="2011-01-16T00:00:00"/>
    <x v="0"/>
    <x v="0"/>
    <x v="0"/>
    <x v="0"/>
    <x v="0"/>
    <x v="0"/>
    <n v="0"/>
    <x v="0"/>
    <x v="12"/>
    <x v="1"/>
    <x v="25"/>
    <s v="High Humidity"/>
    <x v="34"/>
    <n v="0"/>
    <n v="6"/>
    <x v="39"/>
    <x v="21"/>
  </r>
  <r>
    <x v="349"/>
    <d v="2011-01-16T00:00:00"/>
    <x v="0"/>
    <x v="0"/>
    <x v="0"/>
    <x v="1"/>
    <x v="0"/>
    <x v="0"/>
    <n v="0"/>
    <x v="0"/>
    <x v="12"/>
    <x v="1"/>
    <x v="1"/>
    <s v="High Humidity"/>
    <x v="34"/>
    <n v="0.1343"/>
    <n v="4"/>
    <x v="23"/>
    <x v="84"/>
  </r>
  <r>
    <x v="350"/>
    <d v="2011-01-16T00:00:00"/>
    <x v="0"/>
    <x v="0"/>
    <x v="0"/>
    <x v="2"/>
    <x v="0"/>
    <x v="0"/>
    <n v="0"/>
    <x v="0"/>
    <x v="12"/>
    <x v="1"/>
    <x v="0"/>
    <s v="High Humidity"/>
    <x v="34"/>
    <n v="8.9599999999999999E-2"/>
    <n v="3"/>
    <x v="0"/>
    <x v="0"/>
  </r>
  <r>
    <x v="351"/>
    <d v="2011-01-16T00:00:00"/>
    <x v="0"/>
    <x v="0"/>
    <x v="0"/>
    <x v="3"/>
    <x v="0"/>
    <x v="0"/>
    <n v="0"/>
    <x v="0"/>
    <x v="1"/>
    <x v="1"/>
    <x v="1"/>
    <s v="High Humidity"/>
    <x v="27"/>
    <n v="0"/>
    <n v="9"/>
    <x v="8"/>
    <x v="93"/>
  </r>
  <r>
    <x v="352"/>
    <d v="2011-01-16T00:00:00"/>
    <x v="0"/>
    <x v="0"/>
    <x v="0"/>
    <x v="4"/>
    <x v="0"/>
    <x v="0"/>
    <n v="0"/>
    <x v="0"/>
    <x v="12"/>
    <x v="1"/>
    <x v="2"/>
    <s v="High Humidity"/>
    <x v="34"/>
    <n v="0.16420000000000001"/>
    <n v="0"/>
    <x v="4"/>
    <x v="4"/>
  </r>
  <r>
    <x v="353"/>
    <d v="2011-01-16T00:00:00"/>
    <x v="0"/>
    <x v="0"/>
    <x v="0"/>
    <x v="5"/>
    <x v="0"/>
    <x v="0"/>
    <n v="0"/>
    <x v="1"/>
    <x v="12"/>
    <x v="1"/>
    <x v="2"/>
    <s v="High Humidity"/>
    <x v="34"/>
    <n v="0.16420000000000001"/>
    <n v="1"/>
    <x v="4"/>
    <x v="5"/>
  </r>
  <r>
    <x v="354"/>
    <d v="2011-01-16T00:00:00"/>
    <x v="0"/>
    <x v="0"/>
    <x v="0"/>
    <x v="6"/>
    <x v="0"/>
    <x v="0"/>
    <n v="0"/>
    <x v="1"/>
    <x v="12"/>
    <x v="1"/>
    <x v="2"/>
    <s v="High Humidity"/>
    <x v="34"/>
    <n v="0.16420000000000001"/>
    <n v="0"/>
    <x v="4"/>
    <x v="4"/>
  </r>
  <r>
    <x v="355"/>
    <d v="2011-01-16T00:00:00"/>
    <x v="0"/>
    <x v="0"/>
    <x v="0"/>
    <x v="7"/>
    <x v="0"/>
    <x v="0"/>
    <n v="0"/>
    <x v="1"/>
    <x v="0"/>
    <x v="1"/>
    <x v="12"/>
    <s v="High Humidity"/>
    <x v="34"/>
    <n v="0.29849999999999999"/>
    <n v="0"/>
    <x v="35"/>
    <x v="6"/>
  </r>
  <r>
    <x v="356"/>
    <d v="2011-01-16T00:00:00"/>
    <x v="0"/>
    <x v="0"/>
    <x v="0"/>
    <x v="8"/>
    <x v="0"/>
    <x v="0"/>
    <n v="0"/>
    <x v="0"/>
    <x v="1"/>
    <x v="1"/>
    <x v="12"/>
    <s v="High Humidity"/>
    <x v="28"/>
    <n v="0.28360000000000002"/>
    <n v="0"/>
    <x v="72"/>
    <x v="109"/>
  </r>
  <r>
    <x v="357"/>
    <d v="2011-01-16T00:00:00"/>
    <x v="0"/>
    <x v="0"/>
    <x v="0"/>
    <x v="9"/>
    <x v="0"/>
    <x v="0"/>
    <n v="0"/>
    <x v="0"/>
    <x v="1"/>
    <x v="1"/>
    <x v="12"/>
    <s v="High Humidity"/>
    <x v="33"/>
    <n v="0.25369999999999998"/>
    <n v="3"/>
    <x v="31"/>
    <x v="2"/>
  </r>
  <r>
    <x v="358"/>
    <d v="2011-01-16T00:00:00"/>
    <x v="0"/>
    <x v="0"/>
    <x v="0"/>
    <x v="10"/>
    <x v="0"/>
    <x v="0"/>
    <n v="0"/>
    <x v="0"/>
    <x v="1"/>
    <x v="1"/>
    <x v="12"/>
    <s v="High Humidity"/>
    <x v="33"/>
    <n v="0.28360000000000002"/>
    <n v="8"/>
    <x v="13"/>
    <x v="67"/>
  </r>
  <r>
    <x v="359"/>
    <d v="2011-01-16T00:00:00"/>
    <x v="0"/>
    <x v="0"/>
    <x v="0"/>
    <x v="11"/>
    <x v="0"/>
    <x v="0"/>
    <n v="0"/>
    <x v="0"/>
    <x v="0"/>
    <x v="1"/>
    <x v="11"/>
    <s v="High Humidity"/>
    <x v="18"/>
    <n v="0.25369999999999998"/>
    <n v="23"/>
    <x v="14"/>
    <x v="15"/>
  </r>
  <r>
    <x v="360"/>
    <d v="2011-01-16T00:00:00"/>
    <x v="0"/>
    <x v="0"/>
    <x v="0"/>
    <x v="12"/>
    <x v="0"/>
    <x v="0"/>
    <n v="0"/>
    <x v="0"/>
    <x v="0"/>
    <x v="1"/>
    <x v="12"/>
    <s v="High Humidity"/>
    <x v="48"/>
    <n v="0.28360000000000002"/>
    <n v="29"/>
    <x v="102"/>
    <x v="133"/>
  </r>
  <r>
    <x v="361"/>
    <d v="2011-01-16T00:00:00"/>
    <x v="0"/>
    <x v="0"/>
    <x v="0"/>
    <x v="13"/>
    <x v="0"/>
    <x v="0"/>
    <n v="0"/>
    <x v="0"/>
    <x v="12"/>
    <x v="1"/>
    <x v="11"/>
    <s v="High Humidity"/>
    <x v="23"/>
    <n v="0.29849999999999999"/>
    <n v="23"/>
    <x v="73"/>
    <x v="130"/>
  </r>
  <r>
    <x v="362"/>
    <d v="2011-01-16T00:00:00"/>
    <x v="0"/>
    <x v="0"/>
    <x v="0"/>
    <x v="14"/>
    <x v="0"/>
    <x v="0"/>
    <n v="0"/>
    <x v="0"/>
    <x v="17"/>
    <x v="1"/>
    <x v="1"/>
    <s v="High Humidity"/>
    <x v="42"/>
    <n v="0.25369999999999998"/>
    <n v="22"/>
    <x v="94"/>
    <x v="134"/>
  </r>
  <r>
    <x v="363"/>
    <d v="2011-01-16T00:00:00"/>
    <x v="0"/>
    <x v="0"/>
    <x v="0"/>
    <x v="15"/>
    <x v="0"/>
    <x v="0"/>
    <n v="0"/>
    <x v="0"/>
    <x v="12"/>
    <x v="1"/>
    <x v="19"/>
    <s v="High Humidity"/>
    <x v="41"/>
    <n v="0.25369999999999998"/>
    <n v="35"/>
    <x v="78"/>
    <x v="135"/>
  </r>
  <r>
    <x v="364"/>
    <d v="2011-01-16T00:00:00"/>
    <x v="0"/>
    <x v="0"/>
    <x v="0"/>
    <x v="16"/>
    <x v="0"/>
    <x v="0"/>
    <n v="0"/>
    <x v="0"/>
    <x v="0"/>
    <x v="1"/>
    <x v="11"/>
    <s v="High Humidity"/>
    <x v="41"/>
    <n v="0.22389999999999999"/>
    <n v="22"/>
    <x v="99"/>
    <x v="111"/>
  </r>
  <r>
    <x v="365"/>
    <d v="2011-01-16T00:00:00"/>
    <x v="0"/>
    <x v="0"/>
    <x v="0"/>
    <x v="17"/>
    <x v="0"/>
    <x v="0"/>
    <n v="0"/>
    <x v="0"/>
    <x v="1"/>
    <x v="1"/>
    <x v="12"/>
    <s v="High Humidity"/>
    <x v="38"/>
    <n v="0.25369999999999998"/>
    <n v="23"/>
    <x v="70"/>
    <x v="136"/>
  </r>
  <r>
    <x v="366"/>
    <d v="2011-01-16T00:00:00"/>
    <x v="0"/>
    <x v="0"/>
    <x v="0"/>
    <x v="18"/>
    <x v="0"/>
    <x v="0"/>
    <n v="0"/>
    <x v="0"/>
    <x v="2"/>
    <x v="1"/>
    <x v="12"/>
    <s v="High Humidity"/>
    <x v="22"/>
    <n v="0.16420000000000001"/>
    <n v="11"/>
    <x v="90"/>
    <x v="16"/>
  </r>
  <r>
    <x v="367"/>
    <d v="2011-01-16T00:00:00"/>
    <x v="0"/>
    <x v="0"/>
    <x v="0"/>
    <x v="19"/>
    <x v="0"/>
    <x v="0"/>
    <n v="0"/>
    <x v="0"/>
    <x v="15"/>
    <x v="1"/>
    <x v="13"/>
    <s v="High Humidity"/>
    <x v="19"/>
    <n v="0.1343"/>
    <n v="14"/>
    <x v="12"/>
    <x v="42"/>
  </r>
  <r>
    <x v="368"/>
    <d v="2011-01-16T00:00:00"/>
    <x v="0"/>
    <x v="0"/>
    <x v="0"/>
    <x v="20"/>
    <x v="0"/>
    <x v="0"/>
    <n v="0"/>
    <x v="0"/>
    <x v="15"/>
    <x v="1"/>
    <x v="13"/>
    <s v="High Humidity"/>
    <x v="19"/>
    <n v="0.16420000000000001"/>
    <n v="7"/>
    <x v="54"/>
    <x v="52"/>
  </r>
  <r>
    <x v="369"/>
    <d v="2011-01-16T00:00:00"/>
    <x v="0"/>
    <x v="0"/>
    <x v="0"/>
    <x v="21"/>
    <x v="0"/>
    <x v="0"/>
    <n v="0"/>
    <x v="0"/>
    <x v="15"/>
    <x v="1"/>
    <x v="13"/>
    <s v="High Humidity"/>
    <x v="33"/>
    <n v="0.16420000000000001"/>
    <n v="6"/>
    <x v="97"/>
    <x v="20"/>
  </r>
  <r>
    <x v="370"/>
    <d v="2011-01-16T00:00:00"/>
    <x v="0"/>
    <x v="0"/>
    <x v="0"/>
    <x v="22"/>
    <x v="0"/>
    <x v="0"/>
    <n v="0"/>
    <x v="1"/>
    <x v="2"/>
    <x v="1"/>
    <x v="12"/>
    <s v="High Humidity"/>
    <x v="36"/>
    <n v="0.1343"/>
    <n v="2"/>
    <x v="23"/>
    <x v="137"/>
  </r>
  <r>
    <x v="371"/>
    <d v="2011-01-16T00:00:00"/>
    <x v="0"/>
    <x v="0"/>
    <x v="0"/>
    <x v="23"/>
    <x v="0"/>
    <x v="0"/>
    <n v="0"/>
    <x v="1"/>
    <x v="2"/>
    <x v="1"/>
    <x v="11"/>
    <s v="High Humidity"/>
    <x v="22"/>
    <n v="0.1045"/>
    <n v="0"/>
    <x v="72"/>
    <x v="109"/>
  </r>
  <r>
    <x v="372"/>
    <d v="2011-01-17T00:00:00"/>
    <x v="0"/>
    <x v="0"/>
    <x v="0"/>
    <x v="0"/>
    <x v="1"/>
    <x v="1"/>
    <n v="1"/>
    <x v="1"/>
    <x v="2"/>
    <x v="1"/>
    <x v="13"/>
    <s v="High Humidity"/>
    <x v="19"/>
    <n v="0.22389999999999999"/>
    <n v="1"/>
    <x v="20"/>
    <x v="22"/>
  </r>
  <r>
    <x v="373"/>
    <d v="2011-01-17T00:00:00"/>
    <x v="0"/>
    <x v="0"/>
    <x v="0"/>
    <x v="1"/>
    <x v="1"/>
    <x v="1"/>
    <n v="1"/>
    <x v="1"/>
    <x v="2"/>
    <x v="1"/>
    <x v="13"/>
    <s v="High Humidity"/>
    <x v="18"/>
    <n v="0.19400000000000001"/>
    <n v="1"/>
    <x v="89"/>
    <x v="0"/>
  </r>
  <r>
    <x v="374"/>
    <d v="2011-01-17T00:00:00"/>
    <x v="0"/>
    <x v="0"/>
    <x v="0"/>
    <x v="2"/>
    <x v="1"/>
    <x v="1"/>
    <n v="1"/>
    <x v="1"/>
    <x v="15"/>
    <x v="1"/>
    <x v="17"/>
    <s v="High Humidity"/>
    <x v="21"/>
    <n v="0.25369999999999998"/>
    <n v="0"/>
    <x v="21"/>
    <x v="7"/>
  </r>
  <r>
    <x v="375"/>
    <d v="2011-01-17T00:00:00"/>
    <x v="0"/>
    <x v="0"/>
    <x v="0"/>
    <x v="3"/>
    <x v="1"/>
    <x v="1"/>
    <n v="1"/>
    <x v="1"/>
    <x v="15"/>
    <x v="1"/>
    <x v="18"/>
    <s v="High Humidity"/>
    <x v="21"/>
    <n v="0.19400000000000001"/>
    <n v="0"/>
    <x v="6"/>
    <x v="5"/>
  </r>
  <r>
    <x v="376"/>
    <d v="2011-01-17T00:00:00"/>
    <x v="0"/>
    <x v="0"/>
    <x v="0"/>
    <x v="4"/>
    <x v="1"/>
    <x v="1"/>
    <n v="1"/>
    <x v="1"/>
    <x v="15"/>
    <x v="1"/>
    <x v="13"/>
    <s v="High Humidity"/>
    <x v="21"/>
    <n v="0.1343"/>
    <n v="1"/>
    <x v="6"/>
    <x v="6"/>
  </r>
  <r>
    <x v="377"/>
    <d v="2011-01-17T00:00:00"/>
    <x v="0"/>
    <x v="0"/>
    <x v="0"/>
    <x v="5"/>
    <x v="1"/>
    <x v="1"/>
    <n v="1"/>
    <x v="1"/>
    <x v="15"/>
    <x v="1"/>
    <x v="13"/>
    <s v="High Humidity"/>
    <x v="21"/>
    <n v="0.16420000000000001"/>
    <n v="0"/>
    <x v="4"/>
    <x v="4"/>
  </r>
  <r>
    <x v="378"/>
    <d v="2011-01-17T00:00:00"/>
    <x v="0"/>
    <x v="0"/>
    <x v="0"/>
    <x v="6"/>
    <x v="1"/>
    <x v="1"/>
    <n v="1"/>
    <x v="1"/>
    <x v="15"/>
    <x v="1"/>
    <x v="18"/>
    <s v="High Humidity"/>
    <x v="21"/>
    <n v="0.19400000000000001"/>
    <n v="0"/>
    <x v="34"/>
    <x v="36"/>
  </r>
  <r>
    <x v="379"/>
    <d v="2011-01-17T00:00:00"/>
    <x v="0"/>
    <x v="0"/>
    <x v="0"/>
    <x v="7"/>
    <x v="1"/>
    <x v="1"/>
    <n v="1"/>
    <x v="1"/>
    <x v="13"/>
    <x v="0"/>
    <x v="18"/>
    <s v="High Humidity"/>
    <x v="20"/>
    <n v="0.1343"/>
    <n v="4"/>
    <x v="33"/>
    <x v="3"/>
  </r>
  <r>
    <x v="380"/>
    <d v="2011-01-17T00:00:00"/>
    <x v="0"/>
    <x v="0"/>
    <x v="0"/>
    <x v="8"/>
    <x v="1"/>
    <x v="1"/>
    <n v="1"/>
    <x v="1"/>
    <x v="13"/>
    <x v="0"/>
    <x v="20"/>
    <s v="High Humidity"/>
    <x v="19"/>
    <n v="0.22389999999999999"/>
    <n v="3"/>
    <x v="10"/>
    <x v="63"/>
  </r>
  <r>
    <x v="381"/>
    <d v="2011-01-17T00:00:00"/>
    <x v="0"/>
    <x v="0"/>
    <x v="0"/>
    <x v="9"/>
    <x v="1"/>
    <x v="1"/>
    <n v="1"/>
    <x v="1"/>
    <x v="13"/>
    <x v="0"/>
    <x v="20"/>
    <s v="High Humidity"/>
    <x v="19"/>
    <n v="0.22389999999999999"/>
    <n v="8"/>
    <x v="87"/>
    <x v="105"/>
  </r>
  <r>
    <x v="382"/>
    <d v="2011-01-17T00:00:00"/>
    <x v="0"/>
    <x v="0"/>
    <x v="0"/>
    <x v="10"/>
    <x v="1"/>
    <x v="1"/>
    <n v="1"/>
    <x v="1"/>
    <x v="13"/>
    <x v="0"/>
    <x v="20"/>
    <s v="High Humidity"/>
    <x v="20"/>
    <n v="0.25369999999999998"/>
    <n v="7"/>
    <x v="54"/>
    <x v="52"/>
  </r>
  <r>
    <x v="383"/>
    <d v="2011-01-17T00:00:00"/>
    <x v="0"/>
    <x v="0"/>
    <x v="0"/>
    <x v="11"/>
    <x v="1"/>
    <x v="1"/>
    <n v="1"/>
    <x v="1"/>
    <x v="13"/>
    <x v="0"/>
    <x v="20"/>
    <s v="High Humidity"/>
    <x v="28"/>
    <n v="0.19400000000000001"/>
    <n v="9"/>
    <x v="11"/>
    <x v="37"/>
  </r>
  <r>
    <x v="384"/>
    <d v="2011-01-17T00:00:00"/>
    <x v="0"/>
    <x v="0"/>
    <x v="0"/>
    <x v="12"/>
    <x v="1"/>
    <x v="1"/>
    <n v="1"/>
    <x v="1"/>
    <x v="15"/>
    <x v="1"/>
    <x v="13"/>
    <s v="High Humidity"/>
    <x v="19"/>
    <n v="0.1343"/>
    <n v="10"/>
    <x v="14"/>
    <x v="138"/>
  </r>
  <r>
    <x v="385"/>
    <d v="2011-01-17T00:00:00"/>
    <x v="0"/>
    <x v="0"/>
    <x v="0"/>
    <x v="13"/>
    <x v="1"/>
    <x v="1"/>
    <n v="1"/>
    <x v="1"/>
    <x v="15"/>
    <x v="1"/>
    <x v="13"/>
    <s v="High Humidity"/>
    <x v="19"/>
    <n v="0.1343"/>
    <n v="13"/>
    <x v="122"/>
    <x v="15"/>
  </r>
  <r>
    <x v="386"/>
    <d v="2011-01-17T00:00:00"/>
    <x v="0"/>
    <x v="0"/>
    <x v="0"/>
    <x v="14"/>
    <x v="1"/>
    <x v="1"/>
    <n v="1"/>
    <x v="1"/>
    <x v="15"/>
    <x v="1"/>
    <x v="12"/>
    <s v="High Humidity"/>
    <x v="21"/>
    <n v="0.1045"/>
    <n v="12"/>
    <x v="64"/>
    <x v="80"/>
  </r>
  <r>
    <x v="387"/>
    <d v="2011-01-17T00:00:00"/>
    <x v="0"/>
    <x v="0"/>
    <x v="0"/>
    <x v="15"/>
    <x v="1"/>
    <x v="1"/>
    <n v="1"/>
    <x v="1"/>
    <x v="2"/>
    <x v="1"/>
    <x v="12"/>
    <s v="High Humidity"/>
    <x v="19"/>
    <n v="0.16420000000000001"/>
    <n v="21"/>
    <x v="109"/>
    <x v="15"/>
  </r>
  <r>
    <x v="388"/>
    <d v="2011-01-17T00:00:00"/>
    <x v="0"/>
    <x v="0"/>
    <x v="0"/>
    <x v="16"/>
    <x v="1"/>
    <x v="1"/>
    <n v="1"/>
    <x v="1"/>
    <x v="2"/>
    <x v="1"/>
    <x v="12"/>
    <s v="High Humidity"/>
    <x v="19"/>
    <n v="0.16420000000000001"/>
    <n v="6"/>
    <x v="83"/>
    <x v="100"/>
  </r>
  <r>
    <x v="389"/>
    <d v="2011-01-17T00:00:00"/>
    <x v="0"/>
    <x v="0"/>
    <x v="0"/>
    <x v="17"/>
    <x v="1"/>
    <x v="1"/>
    <n v="1"/>
    <x v="0"/>
    <x v="2"/>
    <x v="1"/>
    <x v="13"/>
    <s v="High Humidity"/>
    <x v="33"/>
    <n v="0.19400000000000001"/>
    <n v="4"/>
    <x v="28"/>
    <x v="68"/>
  </r>
  <r>
    <x v="390"/>
    <d v="2011-01-17T00:00:00"/>
    <x v="0"/>
    <x v="0"/>
    <x v="0"/>
    <x v="18"/>
    <x v="1"/>
    <x v="1"/>
    <n v="1"/>
    <x v="1"/>
    <x v="15"/>
    <x v="1"/>
    <x v="17"/>
    <s v="High Humidity"/>
    <x v="28"/>
    <n v="0.25369999999999998"/>
    <n v="7"/>
    <x v="66"/>
    <x v="101"/>
  </r>
  <r>
    <x v="391"/>
    <d v="2011-01-17T00:00:00"/>
    <x v="0"/>
    <x v="0"/>
    <x v="0"/>
    <x v="19"/>
    <x v="1"/>
    <x v="1"/>
    <n v="1"/>
    <x v="2"/>
    <x v="15"/>
    <x v="1"/>
    <x v="18"/>
    <s v="High Humidity"/>
    <x v="29"/>
    <n v="0.19400000000000001"/>
    <n v="2"/>
    <x v="29"/>
    <x v="122"/>
  </r>
  <r>
    <x v="392"/>
    <d v="2011-01-17T00:00:00"/>
    <x v="0"/>
    <x v="0"/>
    <x v="0"/>
    <x v="20"/>
    <x v="1"/>
    <x v="1"/>
    <n v="1"/>
    <x v="2"/>
    <x v="13"/>
    <x v="0"/>
    <x v="20"/>
    <s v="High Humidity"/>
    <x v="1"/>
    <n v="0.19400000000000001"/>
    <n v="4"/>
    <x v="31"/>
    <x v="63"/>
  </r>
  <r>
    <x v="393"/>
    <d v="2011-01-17T00:00:00"/>
    <x v="0"/>
    <x v="0"/>
    <x v="0"/>
    <x v="21"/>
    <x v="1"/>
    <x v="1"/>
    <n v="1"/>
    <x v="2"/>
    <x v="13"/>
    <x v="0"/>
    <x v="20"/>
    <s v="High Humidity"/>
    <x v="1"/>
    <n v="0.19400000000000001"/>
    <n v="3"/>
    <x v="9"/>
    <x v="110"/>
  </r>
  <r>
    <x v="394"/>
    <d v="2011-01-17T00:00:00"/>
    <x v="0"/>
    <x v="0"/>
    <x v="0"/>
    <x v="22"/>
    <x v="1"/>
    <x v="1"/>
    <n v="1"/>
    <x v="2"/>
    <x v="14"/>
    <x v="0"/>
    <x v="16"/>
    <s v="High Humidity"/>
    <x v="43"/>
    <n v="0.25369999999999998"/>
    <n v="0"/>
    <x v="0"/>
    <x v="3"/>
  </r>
  <r>
    <x v="395"/>
    <d v="2011-01-17T00:00:00"/>
    <x v="0"/>
    <x v="0"/>
    <x v="0"/>
    <x v="23"/>
    <x v="1"/>
    <x v="1"/>
    <n v="1"/>
    <x v="2"/>
    <x v="13"/>
    <x v="0"/>
    <x v="14"/>
    <s v="High Humidity"/>
    <x v="3"/>
    <n v="0.28360000000000002"/>
    <n v="1"/>
    <x v="35"/>
    <x v="48"/>
  </r>
  <r>
    <x v="396"/>
    <d v="2011-01-18T00:00:00"/>
    <x v="0"/>
    <x v="0"/>
    <x v="0"/>
    <x v="12"/>
    <x v="0"/>
    <x v="0"/>
    <n v="2"/>
    <x v="1"/>
    <x v="2"/>
    <x v="1"/>
    <x v="18"/>
    <s v="High Humidity"/>
    <x v="3"/>
    <n v="0.32840000000000003"/>
    <n v="0"/>
    <x v="35"/>
    <x v="6"/>
  </r>
  <r>
    <x v="397"/>
    <d v="2011-01-18T00:00:00"/>
    <x v="0"/>
    <x v="0"/>
    <x v="0"/>
    <x v="13"/>
    <x v="0"/>
    <x v="0"/>
    <n v="2"/>
    <x v="1"/>
    <x v="2"/>
    <x v="1"/>
    <x v="13"/>
    <s v="High Humidity"/>
    <x v="3"/>
    <n v="0.22389999999999999"/>
    <n v="0"/>
    <x v="97"/>
    <x v="34"/>
  </r>
  <r>
    <x v="398"/>
    <d v="2011-01-18T00:00:00"/>
    <x v="0"/>
    <x v="0"/>
    <x v="0"/>
    <x v="14"/>
    <x v="0"/>
    <x v="0"/>
    <n v="2"/>
    <x v="1"/>
    <x v="1"/>
    <x v="1"/>
    <x v="11"/>
    <s v="High Humidity"/>
    <x v="1"/>
    <n v="0.16420000000000001"/>
    <n v="2"/>
    <x v="16"/>
    <x v="20"/>
  </r>
  <r>
    <x v="399"/>
    <d v="2011-01-18T00:00:00"/>
    <x v="0"/>
    <x v="0"/>
    <x v="0"/>
    <x v="15"/>
    <x v="0"/>
    <x v="0"/>
    <n v="2"/>
    <x v="1"/>
    <x v="1"/>
    <x v="1"/>
    <x v="11"/>
    <s v="High Humidity"/>
    <x v="9"/>
    <n v="0.16420000000000001"/>
    <n v="3"/>
    <x v="1"/>
    <x v="17"/>
  </r>
  <r>
    <x v="400"/>
    <d v="2011-01-18T00:00:00"/>
    <x v="0"/>
    <x v="0"/>
    <x v="0"/>
    <x v="16"/>
    <x v="0"/>
    <x v="0"/>
    <n v="2"/>
    <x v="1"/>
    <x v="1"/>
    <x v="1"/>
    <x v="11"/>
    <s v="High Humidity"/>
    <x v="9"/>
    <n v="0.19400000000000001"/>
    <n v="0"/>
    <x v="124"/>
    <x v="42"/>
  </r>
  <r>
    <x v="401"/>
    <d v="2011-01-18T00:00:00"/>
    <x v="0"/>
    <x v="0"/>
    <x v="0"/>
    <x v="17"/>
    <x v="0"/>
    <x v="0"/>
    <n v="2"/>
    <x v="1"/>
    <x v="1"/>
    <x v="1"/>
    <x v="11"/>
    <s v="High Humidity"/>
    <x v="7"/>
    <n v="0.19400000000000001"/>
    <n v="1"/>
    <x v="125"/>
    <x v="139"/>
  </r>
  <r>
    <x v="402"/>
    <d v="2011-01-18T00:00:00"/>
    <x v="0"/>
    <x v="0"/>
    <x v="0"/>
    <x v="18"/>
    <x v="0"/>
    <x v="0"/>
    <n v="2"/>
    <x v="1"/>
    <x v="1"/>
    <x v="1"/>
    <x v="11"/>
    <s v="High Humidity"/>
    <x v="1"/>
    <n v="0.16420000000000001"/>
    <n v="1"/>
    <x v="126"/>
    <x v="140"/>
  </r>
  <r>
    <x v="403"/>
    <d v="2011-01-18T00:00:00"/>
    <x v="0"/>
    <x v="0"/>
    <x v="0"/>
    <x v="19"/>
    <x v="0"/>
    <x v="0"/>
    <n v="2"/>
    <x v="1"/>
    <x v="1"/>
    <x v="1"/>
    <x v="11"/>
    <s v="High Humidity"/>
    <x v="1"/>
    <n v="0.1343"/>
    <n v="1"/>
    <x v="52"/>
    <x v="111"/>
  </r>
  <r>
    <x v="404"/>
    <d v="2011-01-18T00:00:00"/>
    <x v="0"/>
    <x v="0"/>
    <x v="0"/>
    <x v="20"/>
    <x v="0"/>
    <x v="0"/>
    <n v="2"/>
    <x v="1"/>
    <x v="1"/>
    <x v="1"/>
    <x v="1"/>
    <s v="High Humidity"/>
    <x v="9"/>
    <n v="0"/>
    <n v="0"/>
    <x v="93"/>
    <x v="56"/>
  </r>
  <r>
    <x v="405"/>
    <d v="2011-01-18T00:00:00"/>
    <x v="0"/>
    <x v="0"/>
    <x v="0"/>
    <x v="21"/>
    <x v="0"/>
    <x v="0"/>
    <n v="2"/>
    <x v="1"/>
    <x v="1"/>
    <x v="1"/>
    <x v="19"/>
    <s v="High Humidity"/>
    <x v="43"/>
    <n v="0.1045"/>
    <n v="0"/>
    <x v="40"/>
    <x v="102"/>
  </r>
  <r>
    <x v="406"/>
    <d v="2011-01-18T00:00:00"/>
    <x v="0"/>
    <x v="0"/>
    <x v="0"/>
    <x v="22"/>
    <x v="0"/>
    <x v="0"/>
    <n v="2"/>
    <x v="1"/>
    <x v="1"/>
    <x v="1"/>
    <x v="2"/>
    <s v="High Humidity"/>
    <x v="43"/>
    <n v="8.9599999999999999E-2"/>
    <n v="0"/>
    <x v="39"/>
    <x v="63"/>
  </r>
  <r>
    <x v="407"/>
    <d v="2011-01-18T00:00:00"/>
    <x v="0"/>
    <x v="0"/>
    <x v="0"/>
    <x v="23"/>
    <x v="0"/>
    <x v="0"/>
    <n v="2"/>
    <x v="1"/>
    <x v="1"/>
    <x v="1"/>
    <x v="1"/>
    <s v="High Humidity"/>
    <x v="43"/>
    <n v="0"/>
    <n v="1"/>
    <x v="23"/>
    <x v="25"/>
  </r>
  <r>
    <x v="408"/>
    <d v="2011-01-19T00:00:00"/>
    <x v="0"/>
    <x v="0"/>
    <x v="0"/>
    <x v="0"/>
    <x v="0"/>
    <x v="0"/>
    <n v="3"/>
    <x v="1"/>
    <x v="1"/>
    <x v="1"/>
    <x v="1"/>
    <s v="High Humidity"/>
    <x v="43"/>
    <n v="0"/>
    <n v="0"/>
    <x v="35"/>
    <x v="6"/>
  </r>
  <r>
    <x v="409"/>
    <d v="2011-01-19T00:00:00"/>
    <x v="0"/>
    <x v="0"/>
    <x v="0"/>
    <x v="1"/>
    <x v="0"/>
    <x v="0"/>
    <n v="3"/>
    <x v="2"/>
    <x v="1"/>
    <x v="1"/>
    <x v="11"/>
    <s v="High Humidity"/>
    <x v="43"/>
    <n v="0.1343"/>
    <n v="1"/>
    <x v="8"/>
    <x v="85"/>
  </r>
  <r>
    <x v="410"/>
    <d v="2011-01-19T00:00:00"/>
    <x v="0"/>
    <x v="0"/>
    <x v="0"/>
    <x v="2"/>
    <x v="0"/>
    <x v="0"/>
    <n v="3"/>
    <x v="2"/>
    <x v="1"/>
    <x v="1"/>
    <x v="11"/>
    <s v="High Humidity"/>
    <x v="43"/>
    <n v="0.1343"/>
    <n v="0"/>
    <x v="35"/>
    <x v="6"/>
  </r>
  <r>
    <x v="411"/>
    <d v="2011-01-19T00:00:00"/>
    <x v="0"/>
    <x v="0"/>
    <x v="0"/>
    <x v="4"/>
    <x v="0"/>
    <x v="0"/>
    <n v="3"/>
    <x v="2"/>
    <x v="1"/>
    <x v="1"/>
    <x v="11"/>
    <s v="High Humidity"/>
    <x v="43"/>
    <n v="0.1343"/>
    <n v="1"/>
    <x v="4"/>
    <x v="5"/>
  </r>
  <r>
    <x v="412"/>
    <d v="2011-01-19T00:00:00"/>
    <x v="0"/>
    <x v="0"/>
    <x v="0"/>
    <x v="5"/>
    <x v="0"/>
    <x v="0"/>
    <n v="3"/>
    <x v="1"/>
    <x v="1"/>
    <x v="1"/>
    <x v="2"/>
    <s v="High Humidity"/>
    <x v="43"/>
    <n v="8.9599999999999999E-2"/>
    <n v="0"/>
    <x v="7"/>
    <x v="85"/>
  </r>
  <r>
    <x v="413"/>
    <d v="2011-01-19T00:00:00"/>
    <x v="0"/>
    <x v="0"/>
    <x v="0"/>
    <x v="6"/>
    <x v="0"/>
    <x v="0"/>
    <n v="3"/>
    <x v="1"/>
    <x v="1"/>
    <x v="1"/>
    <x v="2"/>
    <s v="High Humidity"/>
    <x v="43"/>
    <n v="8.9599999999999999E-2"/>
    <n v="0"/>
    <x v="1"/>
    <x v="2"/>
  </r>
  <r>
    <x v="414"/>
    <d v="2011-01-19T00:00:00"/>
    <x v="0"/>
    <x v="0"/>
    <x v="0"/>
    <x v="7"/>
    <x v="0"/>
    <x v="0"/>
    <n v="3"/>
    <x v="1"/>
    <x v="0"/>
    <x v="1"/>
    <x v="2"/>
    <s v="High Humidity"/>
    <x v="50"/>
    <n v="0.1045"/>
    <n v="1"/>
    <x v="121"/>
    <x v="127"/>
  </r>
  <r>
    <x v="415"/>
    <d v="2011-01-19T00:00:00"/>
    <x v="0"/>
    <x v="0"/>
    <x v="0"/>
    <x v="8"/>
    <x v="0"/>
    <x v="0"/>
    <n v="3"/>
    <x v="1"/>
    <x v="0"/>
    <x v="1"/>
    <x v="2"/>
    <s v="High Humidity"/>
    <x v="43"/>
    <n v="0.1045"/>
    <n v="1"/>
    <x v="127"/>
    <x v="141"/>
  </r>
  <r>
    <x v="416"/>
    <d v="2011-01-19T00:00:00"/>
    <x v="0"/>
    <x v="0"/>
    <x v="0"/>
    <x v="9"/>
    <x v="0"/>
    <x v="0"/>
    <n v="3"/>
    <x v="1"/>
    <x v="0"/>
    <x v="1"/>
    <x v="2"/>
    <s v="High Humidity"/>
    <x v="43"/>
    <n v="0.1045"/>
    <n v="2"/>
    <x v="128"/>
    <x v="142"/>
  </r>
  <r>
    <x v="417"/>
    <d v="2011-01-19T00:00:00"/>
    <x v="0"/>
    <x v="0"/>
    <x v="0"/>
    <x v="10"/>
    <x v="0"/>
    <x v="0"/>
    <n v="3"/>
    <x v="1"/>
    <x v="12"/>
    <x v="1"/>
    <x v="1"/>
    <s v="High Humidity"/>
    <x v="43"/>
    <n v="0.1343"/>
    <n v="1"/>
    <x v="24"/>
    <x v="105"/>
  </r>
  <r>
    <x v="418"/>
    <d v="2011-01-19T00:00:00"/>
    <x v="0"/>
    <x v="0"/>
    <x v="0"/>
    <x v="11"/>
    <x v="0"/>
    <x v="0"/>
    <n v="3"/>
    <x v="1"/>
    <x v="17"/>
    <x v="1"/>
    <x v="25"/>
    <s v="High Humidity"/>
    <x v="9"/>
    <n v="8.9599999999999999E-2"/>
    <n v="5"/>
    <x v="12"/>
    <x v="46"/>
  </r>
  <r>
    <x v="419"/>
    <d v="2011-01-19T00:00:00"/>
    <x v="0"/>
    <x v="0"/>
    <x v="0"/>
    <x v="12"/>
    <x v="0"/>
    <x v="0"/>
    <n v="3"/>
    <x v="1"/>
    <x v="11"/>
    <x v="1"/>
    <x v="21"/>
    <s v="High Humidity"/>
    <x v="0"/>
    <n v="8.9599999999999999E-2"/>
    <n v="5"/>
    <x v="65"/>
    <x v="27"/>
  </r>
  <r>
    <x v="420"/>
    <d v="2011-01-19T00:00:00"/>
    <x v="0"/>
    <x v="0"/>
    <x v="0"/>
    <x v="13"/>
    <x v="0"/>
    <x v="0"/>
    <n v="3"/>
    <x v="0"/>
    <x v="9"/>
    <x v="1"/>
    <x v="10"/>
    <s v="High Humidity"/>
    <x v="51"/>
    <n v="0.28360000000000002"/>
    <n v="11"/>
    <x v="28"/>
    <x v="53"/>
  </r>
  <r>
    <x v="421"/>
    <d v="2011-01-19T00:00:00"/>
    <x v="0"/>
    <x v="0"/>
    <x v="0"/>
    <x v="14"/>
    <x v="0"/>
    <x v="0"/>
    <n v="3"/>
    <x v="0"/>
    <x v="9"/>
    <x v="1"/>
    <x v="10"/>
    <s v="High Humidity"/>
    <x v="52"/>
    <n v="0.25369999999999998"/>
    <n v="7"/>
    <x v="56"/>
    <x v="28"/>
  </r>
  <r>
    <x v="422"/>
    <d v="2011-01-19T00:00:00"/>
    <x v="0"/>
    <x v="0"/>
    <x v="0"/>
    <x v="15"/>
    <x v="0"/>
    <x v="0"/>
    <n v="3"/>
    <x v="0"/>
    <x v="9"/>
    <x v="1"/>
    <x v="10"/>
    <s v="High Humidity"/>
    <x v="47"/>
    <n v="0.28360000000000002"/>
    <n v="4"/>
    <x v="78"/>
    <x v="100"/>
  </r>
  <r>
    <x v="423"/>
    <d v="2011-01-19T00:00:00"/>
    <x v="0"/>
    <x v="0"/>
    <x v="0"/>
    <x v="16"/>
    <x v="0"/>
    <x v="0"/>
    <n v="3"/>
    <x v="0"/>
    <x v="4"/>
    <x v="1"/>
    <x v="5"/>
    <s v="High Humidity"/>
    <x v="52"/>
    <n v="0.3881"/>
    <n v="10"/>
    <x v="111"/>
    <x v="133"/>
  </r>
  <r>
    <x v="424"/>
    <d v="2011-01-19T00:00:00"/>
    <x v="0"/>
    <x v="0"/>
    <x v="0"/>
    <x v="17"/>
    <x v="0"/>
    <x v="0"/>
    <n v="3"/>
    <x v="0"/>
    <x v="5"/>
    <x v="1"/>
    <x v="6"/>
    <s v="High Humidity"/>
    <x v="14"/>
    <n v="0.32840000000000003"/>
    <n v="7"/>
    <x v="84"/>
    <x v="141"/>
  </r>
  <r>
    <x v="425"/>
    <d v="2011-01-19T00:00:00"/>
    <x v="0"/>
    <x v="0"/>
    <x v="0"/>
    <x v="18"/>
    <x v="0"/>
    <x v="0"/>
    <n v="3"/>
    <x v="0"/>
    <x v="10"/>
    <x v="1"/>
    <x v="21"/>
    <s v="High Humidity"/>
    <x v="53"/>
    <n v="0.28360000000000002"/>
    <n v="5"/>
    <x v="117"/>
    <x v="143"/>
  </r>
  <r>
    <x v="426"/>
    <d v="2011-01-19T00:00:00"/>
    <x v="0"/>
    <x v="0"/>
    <x v="0"/>
    <x v="19"/>
    <x v="0"/>
    <x v="0"/>
    <n v="3"/>
    <x v="0"/>
    <x v="3"/>
    <x v="1"/>
    <x v="0"/>
    <s v="High Humidity"/>
    <x v="14"/>
    <n v="0.41789999999999999"/>
    <n v="4"/>
    <x v="123"/>
    <x v="59"/>
  </r>
  <r>
    <x v="427"/>
    <d v="2011-01-19T00:00:00"/>
    <x v="0"/>
    <x v="0"/>
    <x v="0"/>
    <x v="20"/>
    <x v="0"/>
    <x v="0"/>
    <n v="3"/>
    <x v="0"/>
    <x v="3"/>
    <x v="1"/>
    <x v="25"/>
    <s v="High Humidity"/>
    <x v="36"/>
    <n v="0.29849999999999999"/>
    <n v="2"/>
    <x v="64"/>
    <x v="31"/>
  </r>
  <r>
    <x v="428"/>
    <d v="2011-01-19T00:00:00"/>
    <x v="0"/>
    <x v="0"/>
    <x v="0"/>
    <x v="21"/>
    <x v="0"/>
    <x v="0"/>
    <n v="3"/>
    <x v="0"/>
    <x v="3"/>
    <x v="1"/>
    <x v="0"/>
    <s v="High Humidity"/>
    <x v="36"/>
    <n v="0.41789999999999999"/>
    <n v="4"/>
    <x v="11"/>
    <x v="29"/>
  </r>
  <r>
    <x v="429"/>
    <d v="2011-01-19T00:00:00"/>
    <x v="0"/>
    <x v="0"/>
    <x v="0"/>
    <x v="22"/>
    <x v="0"/>
    <x v="0"/>
    <n v="3"/>
    <x v="0"/>
    <x v="11"/>
    <x v="1"/>
    <x v="25"/>
    <s v="High Humidity"/>
    <x v="35"/>
    <n v="0.16420000000000001"/>
    <n v="6"/>
    <x v="42"/>
    <x v="29"/>
  </r>
  <r>
    <x v="430"/>
    <d v="2011-01-19T00:00:00"/>
    <x v="0"/>
    <x v="0"/>
    <x v="0"/>
    <x v="23"/>
    <x v="0"/>
    <x v="0"/>
    <n v="3"/>
    <x v="0"/>
    <x v="11"/>
    <x v="1"/>
    <x v="1"/>
    <s v="High Humidity"/>
    <x v="35"/>
    <n v="0.4627"/>
    <n v="1"/>
    <x v="2"/>
    <x v="20"/>
  </r>
  <r>
    <x v="431"/>
    <d v="2011-01-20T00:00:00"/>
    <x v="0"/>
    <x v="0"/>
    <x v="0"/>
    <x v="0"/>
    <x v="0"/>
    <x v="0"/>
    <n v="4"/>
    <x v="0"/>
    <x v="12"/>
    <x v="1"/>
    <x v="11"/>
    <s v="High Humidity"/>
    <x v="34"/>
    <n v="0.3881"/>
    <n v="5"/>
    <x v="21"/>
    <x v="3"/>
  </r>
  <r>
    <x v="432"/>
    <d v="2011-01-20T00:00:00"/>
    <x v="0"/>
    <x v="0"/>
    <x v="0"/>
    <x v="1"/>
    <x v="0"/>
    <x v="0"/>
    <n v="4"/>
    <x v="0"/>
    <x v="12"/>
    <x v="1"/>
    <x v="1"/>
    <s v="High Humidity"/>
    <x v="34"/>
    <n v="0"/>
    <n v="2"/>
    <x v="35"/>
    <x v="36"/>
  </r>
  <r>
    <x v="433"/>
    <d v="2011-01-20T00:00:00"/>
    <x v="0"/>
    <x v="0"/>
    <x v="0"/>
    <x v="2"/>
    <x v="0"/>
    <x v="0"/>
    <n v="4"/>
    <x v="0"/>
    <x v="12"/>
    <x v="1"/>
    <x v="1"/>
    <s v="High Humidity"/>
    <x v="34"/>
    <n v="0"/>
    <n v="0"/>
    <x v="6"/>
    <x v="5"/>
  </r>
  <r>
    <x v="434"/>
    <d v="2011-01-20T00:00:00"/>
    <x v="0"/>
    <x v="0"/>
    <x v="0"/>
    <x v="3"/>
    <x v="0"/>
    <x v="0"/>
    <n v="4"/>
    <x v="0"/>
    <x v="12"/>
    <x v="1"/>
    <x v="2"/>
    <s v="High Humidity"/>
    <x v="34"/>
    <n v="0.16420000000000001"/>
    <n v="0"/>
    <x v="4"/>
    <x v="4"/>
  </r>
  <r>
    <x v="435"/>
    <d v="2011-01-20T00:00:00"/>
    <x v="0"/>
    <x v="0"/>
    <x v="0"/>
    <x v="4"/>
    <x v="0"/>
    <x v="0"/>
    <n v="4"/>
    <x v="0"/>
    <x v="12"/>
    <x v="1"/>
    <x v="2"/>
    <s v="High Humidity"/>
    <x v="34"/>
    <n v="0.16420000000000001"/>
    <n v="0"/>
    <x v="4"/>
    <x v="4"/>
  </r>
  <r>
    <x v="436"/>
    <d v="2011-01-20T00:00:00"/>
    <x v="0"/>
    <x v="0"/>
    <x v="0"/>
    <x v="5"/>
    <x v="0"/>
    <x v="0"/>
    <n v="4"/>
    <x v="0"/>
    <x v="0"/>
    <x v="1"/>
    <x v="11"/>
    <s v="High Humidity"/>
    <x v="54"/>
    <n v="0.22389999999999999"/>
    <n v="0"/>
    <x v="8"/>
    <x v="24"/>
  </r>
  <r>
    <x v="437"/>
    <d v="2011-01-20T00:00:00"/>
    <x v="0"/>
    <x v="0"/>
    <x v="0"/>
    <x v="6"/>
    <x v="0"/>
    <x v="0"/>
    <n v="4"/>
    <x v="0"/>
    <x v="1"/>
    <x v="1"/>
    <x v="12"/>
    <s v="High Humidity"/>
    <x v="54"/>
    <n v="0.22389999999999999"/>
    <n v="0"/>
    <x v="96"/>
    <x v="17"/>
  </r>
  <r>
    <x v="438"/>
    <d v="2011-01-20T00:00:00"/>
    <x v="0"/>
    <x v="0"/>
    <x v="0"/>
    <x v="7"/>
    <x v="0"/>
    <x v="0"/>
    <n v="4"/>
    <x v="0"/>
    <x v="1"/>
    <x v="1"/>
    <x v="12"/>
    <s v="High Humidity"/>
    <x v="28"/>
    <n v="0.22389999999999999"/>
    <n v="1"/>
    <x v="129"/>
    <x v="129"/>
  </r>
  <r>
    <x v="439"/>
    <d v="2011-01-20T00:00:00"/>
    <x v="0"/>
    <x v="0"/>
    <x v="0"/>
    <x v="8"/>
    <x v="0"/>
    <x v="0"/>
    <n v="4"/>
    <x v="0"/>
    <x v="1"/>
    <x v="1"/>
    <x v="12"/>
    <s v="High Humidity"/>
    <x v="28"/>
    <n v="0.28360000000000002"/>
    <n v="2"/>
    <x v="130"/>
    <x v="144"/>
  </r>
  <r>
    <x v="440"/>
    <d v="2011-01-20T00:00:00"/>
    <x v="0"/>
    <x v="0"/>
    <x v="0"/>
    <x v="9"/>
    <x v="0"/>
    <x v="0"/>
    <n v="4"/>
    <x v="1"/>
    <x v="0"/>
    <x v="1"/>
    <x v="11"/>
    <s v="High Humidity"/>
    <x v="35"/>
    <n v="0.22389999999999999"/>
    <n v="3"/>
    <x v="131"/>
    <x v="145"/>
  </r>
  <r>
    <x v="441"/>
    <d v="2011-01-20T00:00:00"/>
    <x v="0"/>
    <x v="0"/>
    <x v="0"/>
    <x v="10"/>
    <x v="0"/>
    <x v="0"/>
    <n v="4"/>
    <x v="0"/>
    <x v="12"/>
    <x v="1"/>
    <x v="11"/>
    <s v="High Humidity"/>
    <x v="37"/>
    <n v="0.29849999999999999"/>
    <n v="1"/>
    <x v="90"/>
    <x v="52"/>
  </r>
  <r>
    <x v="442"/>
    <d v="2011-01-20T00:00:00"/>
    <x v="0"/>
    <x v="0"/>
    <x v="0"/>
    <x v="11"/>
    <x v="0"/>
    <x v="0"/>
    <n v="4"/>
    <x v="1"/>
    <x v="17"/>
    <x v="1"/>
    <x v="1"/>
    <s v="High Humidity"/>
    <x v="49"/>
    <n v="0.16420000000000001"/>
    <n v="5"/>
    <x v="36"/>
    <x v="118"/>
  </r>
  <r>
    <x v="443"/>
    <d v="2011-01-20T00:00:00"/>
    <x v="0"/>
    <x v="0"/>
    <x v="0"/>
    <x v="12"/>
    <x v="0"/>
    <x v="0"/>
    <n v="4"/>
    <x v="1"/>
    <x v="11"/>
    <x v="1"/>
    <x v="6"/>
    <s v="High Humidity"/>
    <x v="16"/>
    <n v="0"/>
    <n v="7"/>
    <x v="99"/>
    <x v="11"/>
  </r>
  <r>
    <x v="444"/>
    <d v="2011-01-20T00:00:00"/>
    <x v="0"/>
    <x v="0"/>
    <x v="0"/>
    <x v="13"/>
    <x v="0"/>
    <x v="0"/>
    <n v="4"/>
    <x v="1"/>
    <x v="17"/>
    <x v="1"/>
    <x v="0"/>
    <s v="High Humidity"/>
    <x v="49"/>
    <n v="0.1045"/>
    <n v="12"/>
    <x v="132"/>
    <x v="95"/>
  </r>
  <r>
    <x v="445"/>
    <d v="2011-01-20T00:00:00"/>
    <x v="0"/>
    <x v="0"/>
    <x v="0"/>
    <x v="14"/>
    <x v="0"/>
    <x v="0"/>
    <n v="4"/>
    <x v="1"/>
    <x v="11"/>
    <x v="1"/>
    <x v="25"/>
    <s v="High Humidity"/>
    <x v="49"/>
    <n v="0.1343"/>
    <n v="6"/>
    <x v="102"/>
    <x v="117"/>
  </r>
  <r>
    <x v="446"/>
    <d v="2011-01-20T00:00:00"/>
    <x v="0"/>
    <x v="0"/>
    <x v="0"/>
    <x v="15"/>
    <x v="0"/>
    <x v="0"/>
    <n v="4"/>
    <x v="1"/>
    <x v="3"/>
    <x v="1"/>
    <x v="21"/>
    <s v="High Humidity"/>
    <x v="49"/>
    <n v="0.19400000000000001"/>
    <n v="8"/>
    <x v="133"/>
    <x v="27"/>
  </r>
  <r>
    <x v="447"/>
    <d v="2011-01-20T00:00:00"/>
    <x v="0"/>
    <x v="0"/>
    <x v="0"/>
    <x v="16"/>
    <x v="0"/>
    <x v="0"/>
    <n v="4"/>
    <x v="1"/>
    <x v="11"/>
    <x v="1"/>
    <x v="25"/>
    <s v="High Humidity"/>
    <x v="36"/>
    <n v="0.1343"/>
    <n v="8"/>
    <x v="93"/>
    <x v="134"/>
  </r>
  <r>
    <x v="448"/>
    <d v="2011-01-20T00:00:00"/>
    <x v="0"/>
    <x v="0"/>
    <x v="0"/>
    <x v="17"/>
    <x v="0"/>
    <x v="0"/>
    <n v="4"/>
    <x v="1"/>
    <x v="11"/>
    <x v="1"/>
    <x v="21"/>
    <s v="High Humidity"/>
    <x v="36"/>
    <n v="0.1045"/>
    <n v="8"/>
    <x v="134"/>
    <x v="146"/>
  </r>
  <r>
    <x v="449"/>
    <d v="2011-01-20T00:00:00"/>
    <x v="0"/>
    <x v="0"/>
    <x v="0"/>
    <x v="18"/>
    <x v="0"/>
    <x v="0"/>
    <n v="4"/>
    <x v="1"/>
    <x v="12"/>
    <x v="1"/>
    <x v="2"/>
    <s v="High Humidity"/>
    <x v="34"/>
    <n v="0.19400000000000001"/>
    <n v="1"/>
    <x v="103"/>
    <x v="147"/>
  </r>
  <r>
    <x v="450"/>
    <d v="2011-01-20T00:00:00"/>
    <x v="0"/>
    <x v="0"/>
    <x v="0"/>
    <x v="19"/>
    <x v="0"/>
    <x v="0"/>
    <n v="4"/>
    <x v="0"/>
    <x v="12"/>
    <x v="1"/>
    <x v="11"/>
    <s v="High Humidity"/>
    <x v="34"/>
    <n v="0.32840000000000003"/>
    <n v="6"/>
    <x v="44"/>
    <x v="148"/>
  </r>
  <r>
    <x v="451"/>
    <d v="2011-01-20T00:00:00"/>
    <x v="0"/>
    <x v="0"/>
    <x v="0"/>
    <x v="20"/>
    <x v="0"/>
    <x v="0"/>
    <n v="4"/>
    <x v="1"/>
    <x v="12"/>
    <x v="1"/>
    <x v="19"/>
    <s v="High Humidity"/>
    <x v="54"/>
    <n v="0.28360000000000002"/>
    <n v="2"/>
    <x v="125"/>
    <x v="149"/>
  </r>
  <r>
    <x v="452"/>
    <d v="2011-01-20T00:00:00"/>
    <x v="0"/>
    <x v="0"/>
    <x v="0"/>
    <x v="21"/>
    <x v="0"/>
    <x v="0"/>
    <n v="4"/>
    <x v="1"/>
    <x v="0"/>
    <x v="1"/>
    <x v="11"/>
    <s v="High Humidity"/>
    <x v="54"/>
    <n v="0.25369999999999998"/>
    <n v="3"/>
    <x v="25"/>
    <x v="52"/>
  </r>
  <r>
    <x v="453"/>
    <d v="2011-01-20T00:00:00"/>
    <x v="0"/>
    <x v="0"/>
    <x v="0"/>
    <x v="22"/>
    <x v="0"/>
    <x v="0"/>
    <n v="4"/>
    <x v="1"/>
    <x v="0"/>
    <x v="1"/>
    <x v="12"/>
    <s v="High Humidity"/>
    <x v="55"/>
    <n v="0.28360000000000002"/>
    <n v="0"/>
    <x v="90"/>
    <x v="10"/>
  </r>
  <r>
    <x v="454"/>
    <d v="2011-01-20T00:00:00"/>
    <x v="0"/>
    <x v="0"/>
    <x v="0"/>
    <x v="23"/>
    <x v="0"/>
    <x v="0"/>
    <n v="4"/>
    <x v="1"/>
    <x v="0"/>
    <x v="1"/>
    <x v="12"/>
    <s v="High Humidity"/>
    <x v="55"/>
    <n v="0.32840000000000003"/>
    <n v="3"/>
    <x v="95"/>
    <x v="35"/>
  </r>
  <r>
    <x v="455"/>
    <d v="2011-01-21T00:00:00"/>
    <x v="0"/>
    <x v="0"/>
    <x v="0"/>
    <x v="0"/>
    <x v="0"/>
    <x v="0"/>
    <n v="5"/>
    <x v="1"/>
    <x v="0"/>
    <x v="1"/>
    <x v="11"/>
    <s v="High Humidity"/>
    <x v="56"/>
    <n v="0.25369999999999998"/>
    <n v="1"/>
    <x v="32"/>
    <x v="137"/>
  </r>
  <r>
    <x v="456"/>
    <d v="2011-01-21T00:00:00"/>
    <x v="0"/>
    <x v="0"/>
    <x v="0"/>
    <x v="1"/>
    <x v="0"/>
    <x v="0"/>
    <n v="5"/>
    <x v="1"/>
    <x v="0"/>
    <x v="1"/>
    <x v="11"/>
    <s v="High Humidity"/>
    <x v="56"/>
    <n v="0.25369999999999998"/>
    <n v="0"/>
    <x v="8"/>
    <x v="24"/>
  </r>
  <r>
    <x v="457"/>
    <d v="2011-01-21T00:00:00"/>
    <x v="0"/>
    <x v="0"/>
    <x v="0"/>
    <x v="2"/>
    <x v="0"/>
    <x v="0"/>
    <n v="5"/>
    <x v="2"/>
    <x v="0"/>
    <x v="1"/>
    <x v="19"/>
    <s v="High Humidity"/>
    <x v="2"/>
    <n v="0.16420000000000001"/>
    <n v="0"/>
    <x v="6"/>
    <x v="5"/>
  </r>
  <r>
    <x v="458"/>
    <d v="2011-01-21T00:00:00"/>
    <x v="0"/>
    <x v="0"/>
    <x v="0"/>
    <x v="3"/>
    <x v="0"/>
    <x v="0"/>
    <n v="5"/>
    <x v="2"/>
    <x v="1"/>
    <x v="1"/>
    <x v="12"/>
    <s v="High Humidity"/>
    <x v="1"/>
    <n v="0.29849999999999999"/>
    <n v="0"/>
    <x v="4"/>
    <x v="4"/>
  </r>
  <r>
    <x v="459"/>
    <d v="2011-01-21T00:00:00"/>
    <x v="0"/>
    <x v="0"/>
    <x v="0"/>
    <x v="4"/>
    <x v="0"/>
    <x v="0"/>
    <n v="5"/>
    <x v="1"/>
    <x v="1"/>
    <x v="1"/>
    <x v="2"/>
    <s v="High Humidity"/>
    <x v="9"/>
    <n v="8.9599999999999999E-2"/>
    <n v="0"/>
    <x v="4"/>
    <x v="4"/>
  </r>
  <r>
    <x v="460"/>
    <d v="2011-01-21T00:00:00"/>
    <x v="0"/>
    <x v="0"/>
    <x v="0"/>
    <x v="5"/>
    <x v="0"/>
    <x v="0"/>
    <n v="5"/>
    <x v="0"/>
    <x v="0"/>
    <x v="1"/>
    <x v="13"/>
    <s v="High Humidity"/>
    <x v="54"/>
    <n v="0.41789999999999999"/>
    <n v="1"/>
    <x v="22"/>
    <x v="36"/>
  </r>
  <r>
    <x v="461"/>
    <d v="2011-01-21T00:00:00"/>
    <x v="0"/>
    <x v="0"/>
    <x v="0"/>
    <x v="6"/>
    <x v="0"/>
    <x v="0"/>
    <n v="5"/>
    <x v="0"/>
    <x v="1"/>
    <x v="1"/>
    <x v="12"/>
    <s v="High Humidity"/>
    <x v="28"/>
    <n v="0.25369999999999998"/>
    <n v="0"/>
    <x v="2"/>
    <x v="110"/>
  </r>
  <r>
    <x v="462"/>
    <d v="2011-01-21T00:00:00"/>
    <x v="0"/>
    <x v="0"/>
    <x v="0"/>
    <x v="7"/>
    <x v="0"/>
    <x v="0"/>
    <n v="5"/>
    <x v="0"/>
    <x v="2"/>
    <x v="1"/>
    <x v="18"/>
    <s v="High Humidity"/>
    <x v="33"/>
    <n v="0.28360000000000002"/>
    <n v="2"/>
    <x v="43"/>
    <x v="118"/>
  </r>
  <r>
    <x v="463"/>
    <d v="2011-01-21T00:00:00"/>
    <x v="0"/>
    <x v="0"/>
    <x v="0"/>
    <x v="8"/>
    <x v="0"/>
    <x v="0"/>
    <n v="5"/>
    <x v="0"/>
    <x v="2"/>
    <x v="1"/>
    <x v="18"/>
    <s v="High Humidity"/>
    <x v="19"/>
    <n v="0.32840000000000003"/>
    <n v="7"/>
    <x v="135"/>
    <x v="112"/>
  </r>
  <r>
    <x v="464"/>
    <d v="2011-01-21T00:00:00"/>
    <x v="0"/>
    <x v="0"/>
    <x v="0"/>
    <x v="9"/>
    <x v="0"/>
    <x v="0"/>
    <n v="5"/>
    <x v="0"/>
    <x v="2"/>
    <x v="1"/>
    <x v="18"/>
    <s v="High Humidity"/>
    <x v="33"/>
    <n v="0.35820000000000002"/>
    <n v="7"/>
    <x v="136"/>
    <x v="150"/>
  </r>
  <r>
    <x v="465"/>
    <d v="2011-01-21T00:00:00"/>
    <x v="0"/>
    <x v="0"/>
    <x v="0"/>
    <x v="10"/>
    <x v="0"/>
    <x v="0"/>
    <n v="5"/>
    <x v="0"/>
    <x v="2"/>
    <x v="1"/>
    <x v="17"/>
    <s v="High Humidity"/>
    <x v="19"/>
    <n v="0.4627"/>
    <n v="6"/>
    <x v="77"/>
    <x v="55"/>
  </r>
  <r>
    <x v="466"/>
    <d v="2011-01-21T00:00:00"/>
    <x v="0"/>
    <x v="0"/>
    <x v="0"/>
    <x v="11"/>
    <x v="0"/>
    <x v="0"/>
    <n v="5"/>
    <x v="0"/>
    <x v="1"/>
    <x v="1"/>
    <x v="18"/>
    <s v="High Humidity"/>
    <x v="48"/>
    <n v="0.4627"/>
    <n v="6"/>
    <x v="42"/>
    <x v="29"/>
  </r>
  <r>
    <x v="467"/>
    <d v="2011-01-21T00:00:00"/>
    <x v="0"/>
    <x v="0"/>
    <x v="0"/>
    <x v="12"/>
    <x v="0"/>
    <x v="0"/>
    <n v="5"/>
    <x v="0"/>
    <x v="1"/>
    <x v="1"/>
    <x v="18"/>
    <s v="High Humidity"/>
    <x v="57"/>
    <n v="0.58209999999999995"/>
    <n v="11"/>
    <x v="28"/>
    <x v="53"/>
  </r>
  <r>
    <x v="468"/>
    <d v="2011-01-21T00:00:00"/>
    <x v="0"/>
    <x v="0"/>
    <x v="0"/>
    <x v="13"/>
    <x v="0"/>
    <x v="0"/>
    <n v="5"/>
    <x v="0"/>
    <x v="2"/>
    <x v="1"/>
    <x v="20"/>
    <s v="High Humidity"/>
    <x v="58"/>
    <n v="0.58209999999999995"/>
    <n v="8"/>
    <x v="65"/>
    <x v="88"/>
  </r>
  <r>
    <x v="469"/>
    <d v="2011-01-21T00:00:00"/>
    <x v="0"/>
    <x v="0"/>
    <x v="0"/>
    <x v="14"/>
    <x v="0"/>
    <x v="0"/>
    <n v="5"/>
    <x v="0"/>
    <x v="2"/>
    <x v="1"/>
    <x v="20"/>
    <s v="High Humidity"/>
    <x v="59"/>
    <n v="0.52239999999999998"/>
    <n v="6"/>
    <x v="90"/>
    <x v="69"/>
  </r>
  <r>
    <x v="470"/>
    <d v="2011-01-21T00:00:00"/>
    <x v="0"/>
    <x v="0"/>
    <x v="0"/>
    <x v="15"/>
    <x v="0"/>
    <x v="0"/>
    <n v="5"/>
    <x v="0"/>
    <x v="13"/>
    <x v="0"/>
    <x v="16"/>
    <s v="High Humidity"/>
    <x v="60"/>
    <n v="0.44779999999999998"/>
    <n v="4"/>
    <x v="124"/>
    <x v="32"/>
  </r>
  <r>
    <x v="471"/>
    <d v="2011-01-21T00:00:00"/>
    <x v="0"/>
    <x v="0"/>
    <x v="0"/>
    <x v="16"/>
    <x v="0"/>
    <x v="0"/>
    <n v="5"/>
    <x v="0"/>
    <x v="13"/>
    <x v="0"/>
    <x v="14"/>
    <s v="High Humidity"/>
    <x v="60"/>
    <n v="0.35820000000000002"/>
    <n v="0"/>
    <x v="106"/>
    <x v="54"/>
  </r>
  <r>
    <x v="472"/>
    <d v="2011-01-21T00:00:00"/>
    <x v="0"/>
    <x v="0"/>
    <x v="0"/>
    <x v="17"/>
    <x v="0"/>
    <x v="0"/>
    <n v="5"/>
    <x v="0"/>
    <x v="14"/>
    <x v="0"/>
    <x v="16"/>
    <s v="High Humidity"/>
    <x v="40"/>
    <n v="0.35820000000000002"/>
    <n v="10"/>
    <x v="137"/>
    <x v="143"/>
  </r>
  <r>
    <x v="473"/>
    <d v="2011-01-21T00:00:00"/>
    <x v="0"/>
    <x v="0"/>
    <x v="0"/>
    <x v="18"/>
    <x v="0"/>
    <x v="0"/>
    <n v="5"/>
    <x v="0"/>
    <x v="16"/>
    <x v="0"/>
    <x v="16"/>
    <s v="High Humidity"/>
    <x v="24"/>
    <n v="0.25369999999999998"/>
    <n v="1"/>
    <x v="138"/>
    <x v="151"/>
  </r>
  <r>
    <x v="474"/>
    <d v="2011-01-21T00:00:00"/>
    <x v="0"/>
    <x v="0"/>
    <x v="0"/>
    <x v="19"/>
    <x v="0"/>
    <x v="0"/>
    <n v="5"/>
    <x v="0"/>
    <x v="16"/>
    <x v="0"/>
    <x v="15"/>
    <s v="High Humidity"/>
    <x v="24"/>
    <n v="0.32840000000000003"/>
    <n v="3"/>
    <x v="139"/>
    <x v="152"/>
  </r>
  <r>
    <x v="475"/>
    <d v="2011-01-21T00:00:00"/>
    <x v="0"/>
    <x v="0"/>
    <x v="0"/>
    <x v="20"/>
    <x v="0"/>
    <x v="0"/>
    <n v="5"/>
    <x v="0"/>
    <x v="18"/>
    <x v="0"/>
    <x v="23"/>
    <s v="High Humidity"/>
    <x v="39"/>
    <n v="0.41789999999999999"/>
    <n v="1"/>
    <x v="15"/>
    <x v="26"/>
  </r>
  <r>
    <x v="476"/>
    <d v="2011-01-21T00:00:00"/>
    <x v="0"/>
    <x v="0"/>
    <x v="0"/>
    <x v="21"/>
    <x v="0"/>
    <x v="0"/>
    <n v="5"/>
    <x v="0"/>
    <x v="19"/>
    <x v="0"/>
    <x v="23"/>
    <s v="High Humidity"/>
    <x v="41"/>
    <n v="0.28360000000000002"/>
    <n v="0"/>
    <x v="40"/>
    <x v="102"/>
  </r>
  <r>
    <x v="477"/>
    <d v="2011-01-21T00:00:00"/>
    <x v="0"/>
    <x v="0"/>
    <x v="0"/>
    <x v="22"/>
    <x v="0"/>
    <x v="0"/>
    <n v="5"/>
    <x v="0"/>
    <x v="20"/>
    <x v="0"/>
    <x v="26"/>
    <s v="High Humidity"/>
    <x v="48"/>
    <n v="0.3881"/>
    <n v="1"/>
    <x v="39"/>
    <x v="19"/>
  </r>
  <r>
    <x v="478"/>
    <d v="2011-01-21T00:00:00"/>
    <x v="0"/>
    <x v="0"/>
    <x v="0"/>
    <x v="23"/>
    <x v="0"/>
    <x v="0"/>
    <n v="5"/>
    <x v="0"/>
    <x v="20"/>
    <x v="0"/>
    <x v="27"/>
    <s v="High Humidity"/>
    <x v="41"/>
    <n v="0.32840000000000003"/>
    <n v="0"/>
    <x v="2"/>
    <x v="110"/>
  </r>
  <r>
    <x v="479"/>
    <d v="2011-01-22T00:00:00"/>
    <x v="0"/>
    <x v="0"/>
    <x v="0"/>
    <x v="0"/>
    <x v="0"/>
    <x v="0"/>
    <n v="6"/>
    <x v="0"/>
    <x v="21"/>
    <x v="0"/>
    <x v="26"/>
    <s v="High Humidity"/>
    <x v="49"/>
    <n v="0.25369999999999998"/>
    <n v="0"/>
    <x v="0"/>
    <x v="3"/>
  </r>
  <r>
    <x v="480"/>
    <d v="2011-01-22T00:00:00"/>
    <x v="0"/>
    <x v="0"/>
    <x v="0"/>
    <x v="1"/>
    <x v="0"/>
    <x v="0"/>
    <n v="6"/>
    <x v="1"/>
    <x v="21"/>
    <x v="0"/>
    <x v="28"/>
    <s v="High Humidity"/>
    <x v="48"/>
    <n v="0.3881"/>
    <n v="3"/>
    <x v="33"/>
    <x v="47"/>
  </r>
  <r>
    <x v="481"/>
    <d v="2011-01-22T00:00:00"/>
    <x v="0"/>
    <x v="0"/>
    <x v="0"/>
    <x v="2"/>
    <x v="0"/>
    <x v="0"/>
    <n v="6"/>
    <x v="1"/>
    <x v="21"/>
    <x v="0"/>
    <x v="26"/>
    <s v="High Humidity"/>
    <x v="48"/>
    <n v="0.25369999999999998"/>
    <n v="0"/>
    <x v="48"/>
    <x v="62"/>
  </r>
  <r>
    <x v="482"/>
    <d v="2011-01-22T00:00:00"/>
    <x v="0"/>
    <x v="0"/>
    <x v="0"/>
    <x v="3"/>
    <x v="0"/>
    <x v="0"/>
    <n v="6"/>
    <x v="1"/>
    <x v="21"/>
    <x v="0"/>
    <x v="26"/>
    <s v="High Humidity"/>
    <x v="48"/>
    <n v="0.28360000000000002"/>
    <n v="1"/>
    <x v="8"/>
    <x v="85"/>
  </r>
  <r>
    <x v="483"/>
    <d v="2011-01-22T00:00:00"/>
    <x v="0"/>
    <x v="0"/>
    <x v="0"/>
    <x v="4"/>
    <x v="0"/>
    <x v="0"/>
    <n v="6"/>
    <x v="1"/>
    <x v="22"/>
    <x v="0"/>
    <x v="29"/>
    <s v="High Humidity"/>
    <x v="37"/>
    <n v="0.29849999999999999"/>
    <n v="0"/>
    <x v="35"/>
    <x v="6"/>
  </r>
  <r>
    <x v="484"/>
    <d v="2011-01-22T00:00:00"/>
    <x v="0"/>
    <x v="0"/>
    <x v="0"/>
    <x v="6"/>
    <x v="0"/>
    <x v="0"/>
    <n v="6"/>
    <x v="1"/>
    <x v="22"/>
    <x v="0"/>
    <x v="26"/>
    <s v="High Humidity"/>
    <x v="18"/>
    <n v="0.22389999999999999"/>
    <n v="0"/>
    <x v="6"/>
    <x v="5"/>
  </r>
  <r>
    <x v="485"/>
    <d v="2011-01-22T00:00:00"/>
    <x v="0"/>
    <x v="0"/>
    <x v="0"/>
    <x v="7"/>
    <x v="0"/>
    <x v="0"/>
    <n v="6"/>
    <x v="0"/>
    <x v="22"/>
    <x v="0"/>
    <x v="29"/>
    <s v="High Humidity"/>
    <x v="18"/>
    <n v="0.28360000000000002"/>
    <n v="0"/>
    <x v="21"/>
    <x v="7"/>
  </r>
  <r>
    <x v="486"/>
    <d v="2011-01-22T00:00:00"/>
    <x v="0"/>
    <x v="0"/>
    <x v="0"/>
    <x v="8"/>
    <x v="0"/>
    <x v="0"/>
    <n v="6"/>
    <x v="0"/>
    <x v="22"/>
    <x v="0"/>
    <x v="28"/>
    <s v="High Humidity"/>
    <x v="18"/>
    <n v="0.32840000000000003"/>
    <n v="1"/>
    <x v="16"/>
    <x v="110"/>
  </r>
  <r>
    <x v="487"/>
    <d v="2011-01-22T00:00:00"/>
    <x v="0"/>
    <x v="0"/>
    <x v="0"/>
    <x v="9"/>
    <x v="0"/>
    <x v="0"/>
    <n v="6"/>
    <x v="0"/>
    <x v="21"/>
    <x v="0"/>
    <x v="26"/>
    <s v="High Humidity"/>
    <x v="48"/>
    <n v="0.25369999999999998"/>
    <n v="3"/>
    <x v="53"/>
    <x v="1"/>
  </r>
  <r>
    <x v="488"/>
    <d v="2011-01-22T00:00:00"/>
    <x v="0"/>
    <x v="0"/>
    <x v="0"/>
    <x v="10"/>
    <x v="0"/>
    <x v="0"/>
    <n v="6"/>
    <x v="1"/>
    <x v="21"/>
    <x v="0"/>
    <x v="22"/>
    <s v="High Humidity"/>
    <x v="48"/>
    <n v="0.16420000000000001"/>
    <n v="3"/>
    <x v="54"/>
    <x v="26"/>
  </r>
  <r>
    <x v="489"/>
    <d v="2011-01-22T00:00:00"/>
    <x v="0"/>
    <x v="0"/>
    <x v="0"/>
    <x v="11"/>
    <x v="0"/>
    <x v="0"/>
    <n v="6"/>
    <x v="1"/>
    <x v="20"/>
    <x v="0"/>
    <x v="23"/>
    <s v="High Humidity"/>
    <x v="41"/>
    <n v="0.1343"/>
    <n v="4"/>
    <x v="79"/>
    <x v="55"/>
  </r>
  <r>
    <x v="490"/>
    <d v="2011-01-22T00:00:00"/>
    <x v="0"/>
    <x v="0"/>
    <x v="0"/>
    <x v="12"/>
    <x v="0"/>
    <x v="0"/>
    <n v="6"/>
    <x v="1"/>
    <x v="20"/>
    <x v="0"/>
    <x v="15"/>
    <s v="High Humidity"/>
    <x v="41"/>
    <n v="0.1045"/>
    <n v="10"/>
    <x v="91"/>
    <x v="27"/>
  </r>
  <r>
    <x v="491"/>
    <d v="2011-01-22T00:00:00"/>
    <x v="0"/>
    <x v="0"/>
    <x v="0"/>
    <x v="13"/>
    <x v="0"/>
    <x v="0"/>
    <n v="6"/>
    <x v="0"/>
    <x v="19"/>
    <x v="0"/>
    <x v="17"/>
    <s v="High Humidity"/>
    <x v="23"/>
    <n v="0"/>
    <n v="12"/>
    <x v="109"/>
    <x v="11"/>
  </r>
  <r>
    <x v="492"/>
    <d v="2011-01-22T00:00:00"/>
    <x v="0"/>
    <x v="0"/>
    <x v="0"/>
    <x v="14"/>
    <x v="0"/>
    <x v="0"/>
    <n v="6"/>
    <x v="0"/>
    <x v="18"/>
    <x v="0"/>
    <x v="14"/>
    <s v="High Humidity"/>
    <x v="39"/>
    <n v="0.1045"/>
    <n v="11"/>
    <x v="27"/>
    <x v="28"/>
  </r>
  <r>
    <x v="493"/>
    <d v="2011-01-22T00:00:00"/>
    <x v="0"/>
    <x v="0"/>
    <x v="0"/>
    <x v="15"/>
    <x v="0"/>
    <x v="0"/>
    <n v="6"/>
    <x v="0"/>
    <x v="16"/>
    <x v="0"/>
    <x v="20"/>
    <s v="High Humidity"/>
    <x v="40"/>
    <n v="0"/>
    <n v="10"/>
    <x v="139"/>
    <x v="153"/>
  </r>
  <r>
    <x v="494"/>
    <d v="2011-01-22T00:00:00"/>
    <x v="0"/>
    <x v="0"/>
    <x v="0"/>
    <x v="16"/>
    <x v="0"/>
    <x v="0"/>
    <n v="6"/>
    <x v="0"/>
    <x v="16"/>
    <x v="0"/>
    <x v="14"/>
    <s v="High Humidity"/>
    <x v="40"/>
    <n v="0.19400000000000001"/>
    <n v="11"/>
    <x v="109"/>
    <x v="56"/>
  </r>
  <r>
    <x v="495"/>
    <d v="2011-01-22T00:00:00"/>
    <x v="0"/>
    <x v="0"/>
    <x v="0"/>
    <x v="17"/>
    <x v="0"/>
    <x v="0"/>
    <n v="6"/>
    <x v="0"/>
    <x v="16"/>
    <x v="0"/>
    <x v="13"/>
    <s v="High Humidity"/>
    <x v="40"/>
    <n v="0"/>
    <n v="8"/>
    <x v="79"/>
    <x v="16"/>
  </r>
  <r>
    <x v="496"/>
    <d v="2011-01-22T00:00:00"/>
    <x v="0"/>
    <x v="0"/>
    <x v="0"/>
    <x v="18"/>
    <x v="0"/>
    <x v="0"/>
    <n v="6"/>
    <x v="0"/>
    <x v="19"/>
    <x v="0"/>
    <x v="24"/>
    <s v="High Humidity"/>
    <x v="23"/>
    <n v="0.19400000000000001"/>
    <n v="0"/>
    <x v="25"/>
    <x v="60"/>
  </r>
  <r>
    <x v="497"/>
    <d v="2011-01-22T00:00:00"/>
    <x v="0"/>
    <x v="0"/>
    <x v="0"/>
    <x v="19"/>
    <x v="0"/>
    <x v="0"/>
    <n v="6"/>
    <x v="0"/>
    <x v="19"/>
    <x v="0"/>
    <x v="15"/>
    <s v="High Humidity"/>
    <x v="23"/>
    <n v="0.1343"/>
    <n v="6"/>
    <x v="42"/>
    <x v="29"/>
  </r>
  <r>
    <x v="498"/>
    <d v="2011-01-22T00:00:00"/>
    <x v="0"/>
    <x v="0"/>
    <x v="0"/>
    <x v="20"/>
    <x v="0"/>
    <x v="0"/>
    <n v="6"/>
    <x v="0"/>
    <x v="20"/>
    <x v="0"/>
    <x v="23"/>
    <s v="High Humidity"/>
    <x v="49"/>
    <n v="0.16420000000000001"/>
    <n v="1"/>
    <x v="100"/>
    <x v="79"/>
  </r>
  <r>
    <x v="499"/>
    <d v="2011-01-22T00:00:00"/>
    <x v="0"/>
    <x v="0"/>
    <x v="0"/>
    <x v="21"/>
    <x v="0"/>
    <x v="0"/>
    <n v="6"/>
    <x v="0"/>
    <x v="20"/>
    <x v="0"/>
    <x v="15"/>
    <s v="High Humidity"/>
    <x v="48"/>
    <n v="8.9599999999999999E-2"/>
    <n v="0"/>
    <x v="87"/>
    <x v="21"/>
  </r>
  <r>
    <x v="500"/>
    <d v="2011-01-22T00:00:00"/>
    <x v="0"/>
    <x v="0"/>
    <x v="0"/>
    <x v="22"/>
    <x v="0"/>
    <x v="0"/>
    <n v="6"/>
    <x v="0"/>
    <x v="20"/>
    <x v="0"/>
    <x v="20"/>
    <s v="High Humidity"/>
    <x v="36"/>
    <n v="0"/>
    <n v="7"/>
    <x v="140"/>
    <x v="33"/>
  </r>
  <r>
    <x v="501"/>
    <d v="2011-01-22T00:00:00"/>
    <x v="0"/>
    <x v="0"/>
    <x v="0"/>
    <x v="23"/>
    <x v="0"/>
    <x v="0"/>
    <n v="6"/>
    <x v="0"/>
    <x v="21"/>
    <x v="0"/>
    <x v="23"/>
    <s v="High Humidity"/>
    <x v="14"/>
    <n v="0.1045"/>
    <n v="2"/>
    <x v="17"/>
    <x v="63"/>
  </r>
  <r>
    <x v="502"/>
    <d v="2011-01-23T00:00:00"/>
    <x v="0"/>
    <x v="0"/>
    <x v="0"/>
    <x v="0"/>
    <x v="0"/>
    <x v="0"/>
    <n v="0"/>
    <x v="0"/>
    <x v="21"/>
    <x v="0"/>
    <x v="23"/>
    <s v="High Humidity"/>
    <x v="14"/>
    <n v="0.1045"/>
    <n v="2"/>
    <x v="32"/>
    <x v="34"/>
  </r>
  <r>
    <x v="503"/>
    <d v="2011-01-23T00:00:00"/>
    <x v="0"/>
    <x v="0"/>
    <x v="0"/>
    <x v="1"/>
    <x v="0"/>
    <x v="0"/>
    <n v="0"/>
    <x v="0"/>
    <x v="21"/>
    <x v="0"/>
    <x v="23"/>
    <s v="High Humidity"/>
    <x v="14"/>
    <n v="0.1045"/>
    <n v="1"/>
    <x v="98"/>
    <x v="3"/>
  </r>
  <r>
    <x v="504"/>
    <d v="2011-01-23T00:00:00"/>
    <x v="0"/>
    <x v="0"/>
    <x v="0"/>
    <x v="2"/>
    <x v="0"/>
    <x v="0"/>
    <n v="0"/>
    <x v="0"/>
    <x v="22"/>
    <x v="0"/>
    <x v="22"/>
    <s v="High Humidity"/>
    <x v="51"/>
    <n v="0.1343"/>
    <n v="3"/>
    <x v="89"/>
    <x v="109"/>
  </r>
  <r>
    <x v="505"/>
    <d v="2011-01-23T00:00:00"/>
    <x v="0"/>
    <x v="0"/>
    <x v="0"/>
    <x v="3"/>
    <x v="0"/>
    <x v="0"/>
    <n v="0"/>
    <x v="0"/>
    <x v="22"/>
    <x v="0"/>
    <x v="22"/>
    <s v="High Humidity"/>
    <x v="51"/>
    <n v="0.1343"/>
    <n v="1"/>
    <x v="22"/>
    <x v="36"/>
  </r>
  <r>
    <x v="506"/>
    <d v="2011-01-23T00:00:00"/>
    <x v="0"/>
    <x v="0"/>
    <x v="0"/>
    <x v="5"/>
    <x v="0"/>
    <x v="0"/>
    <n v="0"/>
    <x v="1"/>
    <x v="21"/>
    <x v="0"/>
    <x v="23"/>
    <s v="High Humidity"/>
    <x v="14"/>
    <n v="0.1045"/>
    <n v="0"/>
    <x v="35"/>
    <x v="6"/>
  </r>
  <r>
    <x v="507"/>
    <d v="2011-01-23T00:00:00"/>
    <x v="0"/>
    <x v="0"/>
    <x v="0"/>
    <x v="6"/>
    <x v="0"/>
    <x v="0"/>
    <n v="0"/>
    <x v="1"/>
    <x v="21"/>
    <x v="0"/>
    <x v="23"/>
    <s v="High Humidity"/>
    <x v="14"/>
    <n v="0.1045"/>
    <n v="0"/>
    <x v="4"/>
    <x v="4"/>
  </r>
  <r>
    <x v="508"/>
    <d v="2011-01-23T00:00:00"/>
    <x v="0"/>
    <x v="0"/>
    <x v="0"/>
    <x v="7"/>
    <x v="0"/>
    <x v="0"/>
    <n v="0"/>
    <x v="0"/>
    <x v="19"/>
    <x v="0"/>
    <x v="15"/>
    <s v="High Humidity"/>
    <x v="52"/>
    <n v="0.16420000000000001"/>
    <n v="1"/>
    <x v="4"/>
    <x v="5"/>
  </r>
  <r>
    <x v="509"/>
    <d v="2011-01-23T00:00:00"/>
    <x v="0"/>
    <x v="0"/>
    <x v="0"/>
    <x v="8"/>
    <x v="0"/>
    <x v="0"/>
    <n v="0"/>
    <x v="0"/>
    <x v="20"/>
    <x v="0"/>
    <x v="23"/>
    <s v="High Humidity"/>
    <x v="51"/>
    <n v="0.16420000000000001"/>
    <n v="2"/>
    <x v="19"/>
    <x v="75"/>
  </r>
  <r>
    <x v="510"/>
    <d v="2011-01-23T00:00:00"/>
    <x v="0"/>
    <x v="0"/>
    <x v="0"/>
    <x v="9"/>
    <x v="0"/>
    <x v="0"/>
    <n v="0"/>
    <x v="0"/>
    <x v="18"/>
    <x v="0"/>
    <x v="23"/>
    <s v="High Humidity"/>
    <x v="47"/>
    <n v="0.35820000000000002"/>
    <n v="3"/>
    <x v="18"/>
    <x v="20"/>
  </r>
  <r>
    <x v="511"/>
    <d v="2011-01-23T00:00:00"/>
    <x v="0"/>
    <x v="0"/>
    <x v="0"/>
    <x v="10"/>
    <x v="0"/>
    <x v="0"/>
    <n v="0"/>
    <x v="0"/>
    <x v="14"/>
    <x v="0"/>
    <x v="15"/>
    <s v="High Humidity"/>
    <x v="15"/>
    <n v="0.3881"/>
    <n v="7"/>
    <x v="82"/>
    <x v="154"/>
  </r>
  <r>
    <x v="512"/>
    <d v="2011-01-23T00:00:00"/>
    <x v="0"/>
    <x v="0"/>
    <x v="0"/>
    <x v="11"/>
    <x v="0"/>
    <x v="0"/>
    <n v="0"/>
    <x v="0"/>
    <x v="14"/>
    <x v="0"/>
    <x v="14"/>
    <s v="High Humidity"/>
    <x v="21"/>
    <n v="0.22389999999999999"/>
    <n v="22"/>
    <x v="99"/>
    <x v="111"/>
  </r>
  <r>
    <x v="513"/>
    <d v="2011-01-23T00:00:00"/>
    <x v="0"/>
    <x v="0"/>
    <x v="0"/>
    <x v="12"/>
    <x v="0"/>
    <x v="0"/>
    <n v="0"/>
    <x v="0"/>
    <x v="13"/>
    <x v="0"/>
    <x v="16"/>
    <s v="High Humidity"/>
    <x v="38"/>
    <n v="0.4627"/>
    <n v="24"/>
    <x v="50"/>
    <x v="155"/>
  </r>
  <r>
    <x v="514"/>
    <d v="2011-01-23T00:00:00"/>
    <x v="0"/>
    <x v="0"/>
    <x v="0"/>
    <x v="13"/>
    <x v="0"/>
    <x v="0"/>
    <n v="0"/>
    <x v="0"/>
    <x v="14"/>
    <x v="0"/>
    <x v="15"/>
    <s v="High Humidity"/>
    <x v="39"/>
    <n v="0.3881"/>
    <n v="12"/>
    <x v="102"/>
    <x v="90"/>
  </r>
  <r>
    <x v="515"/>
    <d v="2011-01-23T00:00:00"/>
    <x v="0"/>
    <x v="0"/>
    <x v="0"/>
    <x v="14"/>
    <x v="0"/>
    <x v="0"/>
    <n v="0"/>
    <x v="0"/>
    <x v="13"/>
    <x v="0"/>
    <x v="14"/>
    <s v="High Humidity"/>
    <x v="40"/>
    <n v="0.35820000000000002"/>
    <n v="17"/>
    <x v="139"/>
    <x v="14"/>
  </r>
  <r>
    <x v="516"/>
    <d v="2011-01-23T00:00:00"/>
    <x v="0"/>
    <x v="0"/>
    <x v="0"/>
    <x v="15"/>
    <x v="0"/>
    <x v="0"/>
    <n v="0"/>
    <x v="0"/>
    <x v="13"/>
    <x v="0"/>
    <x v="14"/>
    <s v="High Humidity"/>
    <x v="40"/>
    <n v="0.35820000000000002"/>
    <n v="13"/>
    <x v="27"/>
    <x v="43"/>
  </r>
  <r>
    <x v="517"/>
    <d v="2011-01-23T00:00:00"/>
    <x v="0"/>
    <x v="0"/>
    <x v="0"/>
    <x v="16"/>
    <x v="0"/>
    <x v="0"/>
    <n v="0"/>
    <x v="0"/>
    <x v="13"/>
    <x v="0"/>
    <x v="14"/>
    <s v="High Humidity"/>
    <x v="60"/>
    <n v="0.32840000000000003"/>
    <n v="9"/>
    <x v="90"/>
    <x v="32"/>
  </r>
  <r>
    <x v="518"/>
    <d v="2011-01-23T00:00:00"/>
    <x v="0"/>
    <x v="0"/>
    <x v="0"/>
    <x v="17"/>
    <x v="0"/>
    <x v="0"/>
    <n v="0"/>
    <x v="0"/>
    <x v="14"/>
    <x v="0"/>
    <x v="15"/>
    <s v="High Humidity"/>
    <x v="60"/>
    <n v="0.3881"/>
    <n v="5"/>
    <x v="54"/>
    <x v="97"/>
  </r>
  <r>
    <x v="519"/>
    <d v="2011-01-23T00:00:00"/>
    <x v="0"/>
    <x v="0"/>
    <x v="0"/>
    <x v="18"/>
    <x v="0"/>
    <x v="0"/>
    <n v="0"/>
    <x v="0"/>
    <x v="16"/>
    <x v="0"/>
    <x v="16"/>
    <s v="High Humidity"/>
    <x v="24"/>
    <n v="0.25369999999999998"/>
    <n v="5"/>
    <x v="100"/>
    <x v="99"/>
  </r>
  <r>
    <x v="520"/>
    <d v="2011-01-23T00:00:00"/>
    <x v="0"/>
    <x v="0"/>
    <x v="0"/>
    <x v="19"/>
    <x v="0"/>
    <x v="0"/>
    <n v="0"/>
    <x v="0"/>
    <x v="16"/>
    <x v="0"/>
    <x v="16"/>
    <s v="High Humidity"/>
    <x v="24"/>
    <n v="0.28360000000000002"/>
    <n v="5"/>
    <x v="108"/>
    <x v="89"/>
  </r>
  <r>
    <x v="521"/>
    <d v="2011-01-23T00:00:00"/>
    <x v="0"/>
    <x v="0"/>
    <x v="0"/>
    <x v="20"/>
    <x v="0"/>
    <x v="0"/>
    <n v="0"/>
    <x v="0"/>
    <x v="18"/>
    <x v="0"/>
    <x v="15"/>
    <s v="High Humidity"/>
    <x v="42"/>
    <n v="0.25369999999999998"/>
    <n v="4"/>
    <x v="17"/>
    <x v="17"/>
  </r>
  <r>
    <x v="522"/>
    <d v="2011-01-23T00:00:00"/>
    <x v="0"/>
    <x v="0"/>
    <x v="0"/>
    <x v="21"/>
    <x v="0"/>
    <x v="0"/>
    <n v="0"/>
    <x v="0"/>
    <x v="18"/>
    <x v="0"/>
    <x v="15"/>
    <s v="High Humidity"/>
    <x v="42"/>
    <n v="0.19400000000000001"/>
    <n v="5"/>
    <x v="32"/>
    <x v="94"/>
  </r>
  <r>
    <x v="523"/>
    <d v="2011-01-23T00:00:00"/>
    <x v="0"/>
    <x v="0"/>
    <x v="0"/>
    <x v="22"/>
    <x v="0"/>
    <x v="0"/>
    <n v="0"/>
    <x v="0"/>
    <x v="19"/>
    <x v="0"/>
    <x v="24"/>
    <s v="High Humidity"/>
    <x v="41"/>
    <n v="0.19400000000000001"/>
    <n v="5"/>
    <x v="140"/>
    <x v="20"/>
  </r>
  <r>
    <x v="524"/>
    <d v="2011-01-23T00:00:00"/>
    <x v="0"/>
    <x v="0"/>
    <x v="0"/>
    <x v="23"/>
    <x v="0"/>
    <x v="0"/>
    <n v="0"/>
    <x v="0"/>
    <x v="20"/>
    <x v="0"/>
    <x v="22"/>
    <s v="High Humidity"/>
    <x v="48"/>
    <n v="0.22389999999999999"/>
    <n v="4"/>
    <x v="19"/>
    <x v="137"/>
  </r>
  <r>
    <x v="525"/>
    <d v="2011-01-24T00:00:00"/>
    <x v="0"/>
    <x v="0"/>
    <x v="0"/>
    <x v="0"/>
    <x v="0"/>
    <x v="0"/>
    <n v="1"/>
    <x v="0"/>
    <x v="20"/>
    <x v="0"/>
    <x v="22"/>
    <s v="High Humidity"/>
    <x v="48"/>
    <n v="0.19400000000000001"/>
    <n v="0"/>
    <x v="7"/>
    <x v="85"/>
  </r>
  <r>
    <x v="526"/>
    <d v="2011-01-24T00:00:00"/>
    <x v="0"/>
    <x v="0"/>
    <x v="0"/>
    <x v="1"/>
    <x v="0"/>
    <x v="0"/>
    <n v="1"/>
    <x v="0"/>
    <x v="21"/>
    <x v="0"/>
    <x v="27"/>
    <s v="High Humidity"/>
    <x v="49"/>
    <n v="0.19400000000000001"/>
    <n v="0"/>
    <x v="4"/>
    <x v="4"/>
  </r>
  <r>
    <x v="527"/>
    <d v="2011-01-24T00:00:00"/>
    <x v="0"/>
    <x v="0"/>
    <x v="0"/>
    <x v="3"/>
    <x v="0"/>
    <x v="0"/>
    <n v="1"/>
    <x v="0"/>
    <x v="21"/>
    <x v="0"/>
    <x v="26"/>
    <s v="High Humidity"/>
    <x v="49"/>
    <n v="0.25369999999999998"/>
    <n v="0"/>
    <x v="4"/>
    <x v="4"/>
  </r>
  <r>
    <x v="528"/>
    <d v="2011-01-24T00:00:00"/>
    <x v="0"/>
    <x v="0"/>
    <x v="0"/>
    <x v="4"/>
    <x v="0"/>
    <x v="0"/>
    <n v="1"/>
    <x v="0"/>
    <x v="22"/>
    <x v="0"/>
    <x v="22"/>
    <s v="High Humidity"/>
    <x v="37"/>
    <n v="0.1343"/>
    <n v="0"/>
    <x v="4"/>
    <x v="4"/>
  </r>
  <r>
    <x v="529"/>
    <d v="2011-01-24T00:00:00"/>
    <x v="0"/>
    <x v="0"/>
    <x v="0"/>
    <x v="5"/>
    <x v="0"/>
    <x v="0"/>
    <n v="1"/>
    <x v="0"/>
    <x v="22"/>
    <x v="0"/>
    <x v="22"/>
    <s v="High Humidity"/>
    <x v="37"/>
    <n v="0.1343"/>
    <n v="0"/>
    <x v="34"/>
    <x v="36"/>
  </r>
  <r>
    <x v="530"/>
    <d v="2011-01-24T00:00:00"/>
    <x v="0"/>
    <x v="0"/>
    <x v="0"/>
    <x v="6"/>
    <x v="0"/>
    <x v="0"/>
    <n v="1"/>
    <x v="0"/>
    <x v="22"/>
    <x v="0"/>
    <x v="23"/>
    <s v="High Humidity"/>
    <x v="37"/>
    <n v="8.9599999999999999E-2"/>
    <n v="0"/>
    <x v="89"/>
    <x v="93"/>
  </r>
  <r>
    <x v="531"/>
    <d v="2011-01-24T00:00:00"/>
    <x v="0"/>
    <x v="0"/>
    <x v="0"/>
    <x v="7"/>
    <x v="0"/>
    <x v="0"/>
    <n v="1"/>
    <x v="0"/>
    <x v="22"/>
    <x v="0"/>
    <x v="16"/>
    <s v="High Humidity"/>
    <x v="37"/>
    <n v="0"/>
    <n v="5"/>
    <x v="55"/>
    <x v="11"/>
  </r>
  <r>
    <x v="532"/>
    <d v="2011-01-24T00:00:00"/>
    <x v="0"/>
    <x v="0"/>
    <x v="0"/>
    <x v="8"/>
    <x v="0"/>
    <x v="0"/>
    <n v="1"/>
    <x v="0"/>
    <x v="21"/>
    <x v="0"/>
    <x v="14"/>
    <s v="High Humidity"/>
    <x v="36"/>
    <n v="0"/>
    <n v="6"/>
    <x v="141"/>
    <x v="156"/>
  </r>
  <r>
    <x v="533"/>
    <d v="2011-01-24T00:00:00"/>
    <x v="0"/>
    <x v="0"/>
    <x v="0"/>
    <x v="9"/>
    <x v="0"/>
    <x v="0"/>
    <n v="1"/>
    <x v="0"/>
    <x v="20"/>
    <x v="0"/>
    <x v="20"/>
    <s v="High Humidity"/>
    <x v="48"/>
    <n v="0"/>
    <n v="4"/>
    <x v="52"/>
    <x v="96"/>
  </r>
  <r>
    <x v="534"/>
    <d v="2011-01-24T00:00:00"/>
    <x v="0"/>
    <x v="0"/>
    <x v="0"/>
    <x v="10"/>
    <x v="0"/>
    <x v="0"/>
    <n v="1"/>
    <x v="0"/>
    <x v="18"/>
    <x v="0"/>
    <x v="14"/>
    <s v="High Humidity"/>
    <x v="16"/>
    <n v="0"/>
    <n v="6"/>
    <x v="60"/>
    <x v="1"/>
  </r>
  <r>
    <x v="535"/>
    <d v="2011-01-24T00:00:00"/>
    <x v="0"/>
    <x v="0"/>
    <x v="0"/>
    <x v="11"/>
    <x v="0"/>
    <x v="0"/>
    <n v="1"/>
    <x v="0"/>
    <x v="18"/>
    <x v="0"/>
    <x v="16"/>
    <s v="High Humidity"/>
    <x v="15"/>
    <n v="0.1343"/>
    <n v="3"/>
    <x v="30"/>
    <x v="66"/>
  </r>
  <r>
    <x v="536"/>
    <d v="2011-01-24T00:00:00"/>
    <x v="0"/>
    <x v="0"/>
    <x v="0"/>
    <x v="12"/>
    <x v="0"/>
    <x v="0"/>
    <n v="1"/>
    <x v="1"/>
    <x v="16"/>
    <x v="0"/>
    <x v="14"/>
    <s v="High Humidity"/>
    <x v="16"/>
    <n v="0.19400000000000001"/>
    <n v="11"/>
    <x v="15"/>
    <x v="55"/>
  </r>
  <r>
    <x v="537"/>
    <d v="2011-01-24T00:00:00"/>
    <x v="0"/>
    <x v="0"/>
    <x v="0"/>
    <x v="13"/>
    <x v="0"/>
    <x v="0"/>
    <n v="1"/>
    <x v="1"/>
    <x v="14"/>
    <x v="0"/>
    <x v="14"/>
    <s v="High Humidity"/>
    <x v="21"/>
    <n v="0.22389999999999999"/>
    <n v="6"/>
    <x v="25"/>
    <x v="122"/>
  </r>
  <r>
    <x v="538"/>
    <d v="2011-01-24T00:00:00"/>
    <x v="0"/>
    <x v="0"/>
    <x v="0"/>
    <x v="14"/>
    <x v="0"/>
    <x v="0"/>
    <n v="1"/>
    <x v="1"/>
    <x v="14"/>
    <x v="0"/>
    <x v="14"/>
    <s v="High Humidity"/>
    <x v="15"/>
    <n v="0.22389999999999999"/>
    <n v="2"/>
    <x v="30"/>
    <x v="79"/>
  </r>
  <r>
    <x v="539"/>
    <d v="2011-01-24T00:00:00"/>
    <x v="0"/>
    <x v="0"/>
    <x v="0"/>
    <x v="15"/>
    <x v="0"/>
    <x v="0"/>
    <n v="1"/>
    <x v="0"/>
    <x v="13"/>
    <x v="0"/>
    <x v="17"/>
    <s v="High Humidity"/>
    <x v="22"/>
    <n v="0.16420000000000001"/>
    <n v="7"/>
    <x v="54"/>
    <x v="52"/>
  </r>
  <r>
    <x v="540"/>
    <d v="2011-01-24T00:00:00"/>
    <x v="0"/>
    <x v="0"/>
    <x v="0"/>
    <x v="16"/>
    <x v="0"/>
    <x v="0"/>
    <n v="1"/>
    <x v="0"/>
    <x v="13"/>
    <x v="0"/>
    <x v="20"/>
    <s v="High Humidity"/>
    <x v="19"/>
    <n v="0.25369999999999998"/>
    <n v="4"/>
    <x v="43"/>
    <x v="27"/>
  </r>
  <r>
    <x v="541"/>
    <d v="2011-01-24T00:00:00"/>
    <x v="0"/>
    <x v="0"/>
    <x v="0"/>
    <x v="17"/>
    <x v="0"/>
    <x v="0"/>
    <n v="1"/>
    <x v="0"/>
    <x v="14"/>
    <x v="0"/>
    <x v="16"/>
    <s v="High Humidity"/>
    <x v="20"/>
    <n v="0.25369999999999998"/>
    <n v="6"/>
    <x v="86"/>
    <x v="157"/>
  </r>
  <r>
    <x v="542"/>
    <d v="2011-01-24T00:00:00"/>
    <x v="0"/>
    <x v="0"/>
    <x v="0"/>
    <x v="18"/>
    <x v="0"/>
    <x v="0"/>
    <n v="1"/>
    <x v="0"/>
    <x v="14"/>
    <x v="0"/>
    <x v="14"/>
    <s v="High Humidity"/>
    <x v="29"/>
    <n v="0.19400000000000001"/>
    <n v="8"/>
    <x v="142"/>
    <x v="158"/>
  </r>
  <r>
    <x v="543"/>
    <d v="2011-01-24T00:00:00"/>
    <x v="0"/>
    <x v="0"/>
    <x v="0"/>
    <x v="19"/>
    <x v="0"/>
    <x v="0"/>
    <n v="1"/>
    <x v="0"/>
    <x v="14"/>
    <x v="0"/>
    <x v="20"/>
    <s v="High Humidity"/>
    <x v="47"/>
    <n v="0.16420000000000001"/>
    <n v="5"/>
    <x v="143"/>
    <x v="13"/>
  </r>
  <r>
    <x v="544"/>
    <d v="2011-01-24T00:00:00"/>
    <x v="0"/>
    <x v="0"/>
    <x v="0"/>
    <x v="20"/>
    <x v="0"/>
    <x v="0"/>
    <n v="1"/>
    <x v="0"/>
    <x v="14"/>
    <x v="0"/>
    <x v="14"/>
    <s v="High Humidity"/>
    <x v="29"/>
    <n v="0.19400000000000001"/>
    <n v="1"/>
    <x v="122"/>
    <x v="117"/>
  </r>
  <r>
    <x v="545"/>
    <d v="2011-01-24T00:00:00"/>
    <x v="0"/>
    <x v="0"/>
    <x v="0"/>
    <x v="21"/>
    <x v="0"/>
    <x v="0"/>
    <n v="1"/>
    <x v="0"/>
    <x v="14"/>
    <x v="0"/>
    <x v="20"/>
    <s v="High Humidity"/>
    <x v="30"/>
    <n v="0.16420000000000001"/>
    <n v="6"/>
    <x v="42"/>
    <x v="29"/>
  </r>
  <r>
    <x v="546"/>
    <d v="2011-01-24T00:00:00"/>
    <x v="0"/>
    <x v="0"/>
    <x v="0"/>
    <x v="22"/>
    <x v="0"/>
    <x v="0"/>
    <n v="1"/>
    <x v="1"/>
    <x v="14"/>
    <x v="0"/>
    <x v="14"/>
    <s v="High Humidity"/>
    <x v="30"/>
    <n v="0.22389999999999999"/>
    <n v="3"/>
    <x v="1"/>
    <x v="17"/>
  </r>
  <r>
    <x v="547"/>
    <d v="2011-01-24T00:00:00"/>
    <x v="0"/>
    <x v="0"/>
    <x v="0"/>
    <x v="23"/>
    <x v="0"/>
    <x v="0"/>
    <n v="1"/>
    <x v="1"/>
    <x v="13"/>
    <x v="0"/>
    <x v="20"/>
    <s v="High Humidity"/>
    <x v="26"/>
    <n v="0.25369999999999998"/>
    <n v="3"/>
    <x v="144"/>
    <x v="108"/>
  </r>
  <r>
    <x v="548"/>
    <d v="2011-01-25T00:00:00"/>
    <x v="0"/>
    <x v="0"/>
    <x v="0"/>
    <x v="0"/>
    <x v="0"/>
    <x v="0"/>
    <n v="2"/>
    <x v="1"/>
    <x v="13"/>
    <x v="0"/>
    <x v="14"/>
    <s v="High Humidity"/>
    <x v="27"/>
    <n v="0.28360000000000002"/>
    <n v="3"/>
    <x v="8"/>
    <x v="23"/>
  </r>
  <r>
    <x v="549"/>
    <d v="2011-01-25T00:00:00"/>
    <x v="0"/>
    <x v="0"/>
    <x v="0"/>
    <x v="1"/>
    <x v="0"/>
    <x v="0"/>
    <n v="2"/>
    <x v="1"/>
    <x v="13"/>
    <x v="0"/>
    <x v="17"/>
    <s v="High Humidity"/>
    <x v="27"/>
    <n v="0.16420000000000001"/>
    <n v="0"/>
    <x v="34"/>
    <x v="36"/>
  </r>
  <r>
    <x v="550"/>
    <d v="2011-01-25T00:00:00"/>
    <x v="0"/>
    <x v="0"/>
    <x v="0"/>
    <x v="2"/>
    <x v="0"/>
    <x v="0"/>
    <n v="2"/>
    <x v="0"/>
    <x v="13"/>
    <x v="0"/>
    <x v="20"/>
    <s v="High Humidity"/>
    <x v="27"/>
    <n v="0.22389999999999999"/>
    <n v="0"/>
    <x v="6"/>
    <x v="5"/>
  </r>
  <r>
    <x v="551"/>
    <d v="2011-01-25T00:00:00"/>
    <x v="0"/>
    <x v="0"/>
    <x v="0"/>
    <x v="4"/>
    <x v="0"/>
    <x v="0"/>
    <n v="2"/>
    <x v="0"/>
    <x v="14"/>
    <x v="0"/>
    <x v="17"/>
    <s v="High Humidity"/>
    <x v="32"/>
    <n v="0.1045"/>
    <n v="0"/>
    <x v="4"/>
    <x v="4"/>
  </r>
  <r>
    <x v="552"/>
    <d v="2011-01-25T00:00:00"/>
    <x v="0"/>
    <x v="0"/>
    <x v="0"/>
    <x v="5"/>
    <x v="0"/>
    <x v="0"/>
    <n v="2"/>
    <x v="0"/>
    <x v="14"/>
    <x v="0"/>
    <x v="14"/>
    <s v="High Humidity"/>
    <x v="32"/>
    <n v="0.22389999999999999"/>
    <n v="0"/>
    <x v="33"/>
    <x v="23"/>
  </r>
  <r>
    <x v="553"/>
    <d v="2011-01-25T00:00:00"/>
    <x v="0"/>
    <x v="0"/>
    <x v="0"/>
    <x v="6"/>
    <x v="0"/>
    <x v="0"/>
    <n v="2"/>
    <x v="0"/>
    <x v="13"/>
    <x v="0"/>
    <x v="18"/>
    <s v="High Humidity"/>
    <x v="32"/>
    <n v="0.1045"/>
    <n v="1"/>
    <x v="96"/>
    <x v="9"/>
  </r>
  <r>
    <x v="554"/>
    <d v="2011-01-25T00:00:00"/>
    <x v="0"/>
    <x v="0"/>
    <x v="0"/>
    <x v="7"/>
    <x v="0"/>
    <x v="0"/>
    <n v="2"/>
    <x v="0"/>
    <x v="13"/>
    <x v="0"/>
    <x v="20"/>
    <s v="High Humidity"/>
    <x v="32"/>
    <n v="0.22389999999999999"/>
    <n v="5"/>
    <x v="145"/>
    <x v="159"/>
  </r>
  <r>
    <x v="555"/>
    <d v="2011-01-25T00:00:00"/>
    <x v="0"/>
    <x v="0"/>
    <x v="0"/>
    <x v="8"/>
    <x v="0"/>
    <x v="0"/>
    <n v="2"/>
    <x v="1"/>
    <x v="13"/>
    <x v="0"/>
    <x v="18"/>
    <s v="High Humidity"/>
    <x v="32"/>
    <n v="0.1343"/>
    <n v="5"/>
    <x v="146"/>
    <x v="160"/>
  </r>
  <r>
    <x v="556"/>
    <d v="2011-01-25T00:00:00"/>
    <x v="0"/>
    <x v="0"/>
    <x v="0"/>
    <x v="9"/>
    <x v="0"/>
    <x v="0"/>
    <n v="2"/>
    <x v="1"/>
    <x v="2"/>
    <x v="1"/>
    <x v="11"/>
    <s v="High Humidity"/>
    <x v="26"/>
    <n v="8.9599999999999999E-2"/>
    <n v="10"/>
    <x v="120"/>
    <x v="124"/>
  </r>
  <r>
    <x v="557"/>
    <d v="2011-01-25T00:00:00"/>
    <x v="0"/>
    <x v="0"/>
    <x v="0"/>
    <x v="10"/>
    <x v="0"/>
    <x v="0"/>
    <n v="2"/>
    <x v="1"/>
    <x v="1"/>
    <x v="1"/>
    <x v="19"/>
    <s v="High Humidity"/>
    <x v="54"/>
    <n v="0.1045"/>
    <n v="6"/>
    <x v="47"/>
    <x v="97"/>
  </r>
  <r>
    <x v="558"/>
    <d v="2011-01-25T00:00:00"/>
    <x v="0"/>
    <x v="0"/>
    <x v="0"/>
    <x v="11"/>
    <x v="0"/>
    <x v="0"/>
    <n v="2"/>
    <x v="1"/>
    <x v="0"/>
    <x v="1"/>
    <x v="19"/>
    <s v="High Humidity"/>
    <x v="54"/>
    <n v="0.1343"/>
    <n v="6"/>
    <x v="11"/>
    <x v="42"/>
  </r>
  <r>
    <x v="559"/>
    <d v="2011-01-25T00:00:00"/>
    <x v="0"/>
    <x v="0"/>
    <x v="0"/>
    <x v="12"/>
    <x v="0"/>
    <x v="0"/>
    <n v="2"/>
    <x v="1"/>
    <x v="12"/>
    <x v="1"/>
    <x v="0"/>
    <s v="High Humidity"/>
    <x v="34"/>
    <n v="8.9599999999999999E-2"/>
    <n v="21"/>
    <x v="66"/>
    <x v="13"/>
  </r>
  <r>
    <x v="560"/>
    <d v="2011-01-25T00:00:00"/>
    <x v="0"/>
    <x v="0"/>
    <x v="0"/>
    <x v="13"/>
    <x v="0"/>
    <x v="0"/>
    <n v="2"/>
    <x v="1"/>
    <x v="12"/>
    <x v="1"/>
    <x v="1"/>
    <s v="High Humidity"/>
    <x v="34"/>
    <n v="0.1343"/>
    <n v="21"/>
    <x v="109"/>
    <x v="15"/>
  </r>
  <r>
    <x v="561"/>
    <d v="2011-01-25T00:00:00"/>
    <x v="0"/>
    <x v="0"/>
    <x v="0"/>
    <x v="14"/>
    <x v="0"/>
    <x v="0"/>
    <n v="2"/>
    <x v="1"/>
    <x v="11"/>
    <x v="1"/>
    <x v="6"/>
    <s v="High Humidity"/>
    <x v="49"/>
    <n v="0"/>
    <n v="11"/>
    <x v="77"/>
    <x v="118"/>
  </r>
  <r>
    <x v="562"/>
    <d v="2011-01-25T00:00:00"/>
    <x v="0"/>
    <x v="0"/>
    <x v="0"/>
    <x v="15"/>
    <x v="0"/>
    <x v="0"/>
    <n v="2"/>
    <x v="1"/>
    <x v="3"/>
    <x v="1"/>
    <x v="4"/>
    <s v="High Humidity"/>
    <x v="16"/>
    <n v="0"/>
    <n v="21"/>
    <x v="36"/>
    <x v="11"/>
  </r>
  <r>
    <x v="563"/>
    <d v="2011-01-25T00:00:00"/>
    <x v="0"/>
    <x v="0"/>
    <x v="0"/>
    <x v="16"/>
    <x v="0"/>
    <x v="0"/>
    <n v="2"/>
    <x v="1"/>
    <x v="3"/>
    <x v="1"/>
    <x v="4"/>
    <s v="High Humidity"/>
    <x v="16"/>
    <n v="0"/>
    <n v="14"/>
    <x v="46"/>
    <x v="155"/>
  </r>
  <r>
    <x v="564"/>
    <d v="2011-01-25T00:00:00"/>
    <x v="0"/>
    <x v="0"/>
    <x v="0"/>
    <x v="17"/>
    <x v="0"/>
    <x v="0"/>
    <n v="2"/>
    <x v="0"/>
    <x v="11"/>
    <x v="1"/>
    <x v="6"/>
    <s v="High Humidity"/>
    <x v="49"/>
    <n v="0"/>
    <n v="14"/>
    <x v="147"/>
    <x v="161"/>
  </r>
  <r>
    <x v="565"/>
    <d v="2011-01-25T00:00:00"/>
    <x v="0"/>
    <x v="0"/>
    <x v="0"/>
    <x v="18"/>
    <x v="0"/>
    <x v="0"/>
    <n v="2"/>
    <x v="1"/>
    <x v="11"/>
    <x v="1"/>
    <x v="21"/>
    <s v="High Humidity"/>
    <x v="36"/>
    <n v="8.9599999999999999E-2"/>
    <n v="7"/>
    <x v="148"/>
    <x v="162"/>
  </r>
  <r>
    <x v="566"/>
    <d v="2011-01-25T00:00:00"/>
    <x v="0"/>
    <x v="0"/>
    <x v="0"/>
    <x v="19"/>
    <x v="0"/>
    <x v="0"/>
    <n v="2"/>
    <x v="1"/>
    <x v="12"/>
    <x v="1"/>
    <x v="2"/>
    <s v="High Humidity"/>
    <x v="55"/>
    <n v="0.16420000000000001"/>
    <n v="13"/>
    <x v="149"/>
    <x v="163"/>
  </r>
  <r>
    <x v="567"/>
    <d v="2011-01-25T00:00:00"/>
    <x v="0"/>
    <x v="0"/>
    <x v="0"/>
    <x v="20"/>
    <x v="0"/>
    <x v="0"/>
    <n v="2"/>
    <x v="0"/>
    <x v="0"/>
    <x v="1"/>
    <x v="11"/>
    <s v="High Humidity"/>
    <x v="55"/>
    <n v="0.19400000000000001"/>
    <n v="16"/>
    <x v="145"/>
    <x v="164"/>
  </r>
  <r>
    <x v="568"/>
    <d v="2011-01-25T00:00:00"/>
    <x v="0"/>
    <x v="0"/>
    <x v="0"/>
    <x v="21"/>
    <x v="0"/>
    <x v="0"/>
    <n v="2"/>
    <x v="0"/>
    <x v="0"/>
    <x v="1"/>
    <x v="11"/>
    <s v="High Humidity"/>
    <x v="55"/>
    <n v="0.19400000000000001"/>
    <n v="5"/>
    <x v="71"/>
    <x v="79"/>
  </r>
  <r>
    <x v="569"/>
    <d v="2011-01-25T00:00:00"/>
    <x v="0"/>
    <x v="0"/>
    <x v="0"/>
    <x v="22"/>
    <x v="0"/>
    <x v="0"/>
    <n v="2"/>
    <x v="0"/>
    <x v="1"/>
    <x v="1"/>
    <x v="11"/>
    <s v="High Humidity"/>
    <x v="26"/>
    <n v="0.16420000000000001"/>
    <n v="4"/>
    <x v="47"/>
    <x v="26"/>
  </r>
  <r>
    <x v="570"/>
    <d v="2011-01-25T00:00:00"/>
    <x v="0"/>
    <x v="0"/>
    <x v="0"/>
    <x v="23"/>
    <x v="0"/>
    <x v="0"/>
    <n v="2"/>
    <x v="1"/>
    <x v="1"/>
    <x v="1"/>
    <x v="11"/>
    <s v="High Humidity"/>
    <x v="26"/>
    <n v="0.16420000000000001"/>
    <n v="3"/>
    <x v="53"/>
    <x v="1"/>
  </r>
  <r>
    <x v="571"/>
    <d v="2011-01-26T00:00:00"/>
    <x v="0"/>
    <x v="0"/>
    <x v="0"/>
    <x v="0"/>
    <x v="0"/>
    <x v="0"/>
    <n v="3"/>
    <x v="1"/>
    <x v="1"/>
    <x v="1"/>
    <x v="11"/>
    <s v="High Humidity"/>
    <x v="27"/>
    <n v="0.1343"/>
    <n v="3"/>
    <x v="88"/>
    <x v="22"/>
  </r>
  <r>
    <x v="572"/>
    <d v="2011-01-26T00:00:00"/>
    <x v="0"/>
    <x v="0"/>
    <x v="0"/>
    <x v="1"/>
    <x v="0"/>
    <x v="0"/>
    <n v="3"/>
    <x v="1"/>
    <x v="0"/>
    <x v="1"/>
    <x v="19"/>
    <s v="High Humidity"/>
    <x v="55"/>
    <n v="0.1343"/>
    <n v="0"/>
    <x v="34"/>
    <x v="36"/>
  </r>
  <r>
    <x v="573"/>
    <d v="2011-01-26T00:00:00"/>
    <x v="0"/>
    <x v="0"/>
    <x v="0"/>
    <x v="2"/>
    <x v="0"/>
    <x v="0"/>
    <n v="3"/>
    <x v="2"/>
    <x v="1"/>
    <x v="1"/>
    <x v="11"/>
    <s v="High Humidity"/>
    <x v="27"/>
    <n v="0.19400000000000001"/>
    <n v="3"/>
    <x v="7"/>
    <x v="98"/>
  </r>
  <r>
    <x v="574"/>
    <d v="2011-01-26T00:00:00"/>
    <x v="0"/>
    <x v="0"/>
    <x v="0"/>
    <x v="5"/>
    <x v="0"/>
    <x v="0"/>
    <n v="3"/>
    <x v="2"/>
    <x v="2"/>
    <x v="1"/>
    <x v="18"/>
    <s v="High Humidity"/>
    <x v="3"/>
    <n v="0.28360000000000002"/>
    <n v="0"/>
    <x v="4"/>
    <x v="4"/>
  </r>
  <r>
    <x v="575"/>
    <d v="2011-01-26T00:00:00"/>
    <x v="0"/>
    <x v="0"/>
    <x v="0"/>
    <x v="6"/>
    <x v="0"/>
    <x v="0"/>
    <n v="3"/>
    <x v="2"/>
    <x v="2"/>
    <x v="1"/>
    <x v="18"/>
    <s v="High Humidity"/>
    <x v="3"/>
    <n v="0.28360000000000002"/>
    <n v="0"/>
    <x v="21"/>
    <x v="7"/>
  </r>
  <r>
    <x v="576"/>
    <d v="2011-01-26T00:00:00"/>
    <x v="0"/>
    <x v="0"/>
    <x v="0"/>
    <x v="7"/>
    <x v="0"/>
    <x v="0"/>
    <n v="3"/>
    <x v="2"/>
    <x v="1"/>
    <x v="1"/>
    <x v="12"/>
    <s v="High Humidity"/>
    <x v="9"/>
    <n v="0.29849999999999999"/>
    <n v="1"/>
    <x v="31"/>
    <x v="33"/>
  </r>
  <r>
    <x v="577"/>
    <d v="2011-01-26T00:00:00"/>
    <x v="0"/>
    <x v="0"/>
    <x v="0"/>
    <x v="8"/>
    <x v="0"/>
    <x v="0"/>
    <n v="3"/>
    <x v="2"/>
    <x v="1"/>
    <x v="1"/>
    <x v="12"/>
    <s v="High Humidity"/>
    <x v="9"/>
    <n v="0.29849999999999999"/>
    <n v="3"/>
    <x v="94"/>
    <x v="44"/>
  </r>
  <r>
    <x v="578"/>
    <d v="2011-01-26T00:00:00"/>
    <x v="0"/>
    <x v="0"/>
    <x v="0"/>
    <x v="9"/>
    <x v="0"/>
    <x v="0"/>
    <n v="3"/>
    <x v="2"/>
    <x v="1"/>
    <x v="1"/>
    <x v="12"/>
    <s v="High Humidity"/>
    <x v="9"/>
    <n v="0.29849999999999999"/>
    <n v="3"/>
    <x v="11"/>
    <x v="154"/>
  </r>
  <r>
    <x v="579"/>
    <d v="2011-01-26T00:00:00"/>
    <x v="0"/>
    <x v="0"/>
    <x v="0"/>
    <x v="10"/>
    <x v="0"/>
    <x v="0"/>
    <n v="3"/>
    <x v="2"/>
    <x v="1"/>
    <x v="1"/>
    <x v="12"/>
    <s v="High Humidity"/>
    <x v="43"/>
    <n v="0.28360000000000002"/>
    <n v="2"/>
    <x v="16"/>
    <x v="20"/>
  </r>
  <r>
    <x v="580"/>
    <d v="2011-01-26T00:00:00"/>
    <x v="0"/>
    <x v="0"/>
    <x v="0"/>
    <x v="11"/>
    <x v="0"/>
    <x v="0"/>
    <n v="3"/>
    <x v="2"/>
    <x v="1"/>
    <x v="1"/>
    <x v="13"/>
    <s v="High Humidity"/>
    <x v="43"/>
    <n v="0.32840000000000003"/>
    <n v="6"/>
    <x v="96"/>
    <x v="102"/>
  </r>
  <r>
    <x v="581"/>
    <d v="2011-01-26T00:00:00"/>
    <x v="0"/>
    <x v="0"/>
    <x v="0"/>
    <x v="12"/>
    <x v="0"/>
    <x v="0"/>
    <n v="3"/>
    <x v="2"/>
    <x v="1"/>
    <x v="1"/>
    <x v="13"/>
    <s v="High Humidity"/>
    <x v="43"/>
    <n v="0.32840000000000003"/>
    <n v="7"/>
    <x v="40"/>
    <x v="61"/>
  </r>
  <r>
    <x v="582"/>
    <d v="2011-01-26T00:00:00"/>
    <x v="0"/>
    <x v="0"/>
    <x v="0"/>
    <x v="13"/>
    <x v="0"/>
    <x v="0"/>
    <n v="3"/>
    <x v="2"/>
    <x v="1"/>
    <x v="1"/>
    <x v="13"/>
    <s v="High Humidity"/>
    <x v="43"/>
    <n v="0.32840000000000003"/>
    <n v="4"/>
    <x v="30"/>
    <x v="105"/>
  </r>
  <r>
    <x v="583"/>
    <d v="2011-01-26T00:00:00"/>
    <x v="0"/>
    <x v="0"/>
    <x v="0"/>
    <x v="14"/>
    <x v="0"/>
    <x v="0"/>
    <n v="3"/>
    <x v="2"/>
    <x v="1"/>
    <x v="1"/>
    <x v="13"/>
    <s v="High Humidity"/>
    <x v="43"/>
    <n v="0.35820000000000002"/>
    <n v="0"/>
    <x v="49"/>
    <x v="9"/>
  </r>
  <r>
    <x v="584"/>
    <d v="2011-01-26T00:00:00"/>
    <x v="0"/>
    <x v="0"/>
    <x v="0"/>
    <x v="15"/>
    <x v="0"/>
    <x v="0"/>
    <n v="3"/>
    <x v="2"/>
    <x v="1"/>
    <x v="1"/>
    <x v="18"/>
    <s v="High Humidity"/>
    <x v="43"/>
    <n v="0.4627"/>
    <n v="1"/>
    <x v="76"/>
    <x v="74"/>
  </r>
  <r>
    <x v="585"/>
    <d v="2011-01-26T00:00:00"/>
    <x v="0"/>
    <x v="0"/>
    <x v="0"/>
    <x v="16"/>
    <x v="0"/>
    <x v="0"/>
    <n v="3"/>
    <x v="3"/>
    <x v="1"/>
    <x v="1"/>
    <x v="13"/>
    <s v="High Humidity"/>
    <x v="43"/>
    <n v="0.32840000000000003"/>
    <n v="1"/>
    <x v="96"/>
    <x v="9"/>
  </r>
  <r>
    <x v="586"/>
    <d v="2011-01-26T00:00:00"/>
    <x v="0"/>
    <x v="0"/>
    <x v="0"/>
    <x v="17"/>
    <x v="0"/>
    <x v="0"/>
    <n v="3"/>
    <x v="2"/>
    <x v="2"/>
    <x v="1"/>
    <x v="18"/>
    <s v="High Humidity"/>
    <x v="43"/>
    <n v="0.35820000000000002"/>
    <n v="0"/>
    <x v="16"/>
    <x v="132"/>
  </r>
  <r>
    <x v="587"/>
    <d v="2011-01-27T00:00:00"/>
    <x v="0"/>
    <x v="0"/>
    <x v="0"/>
    <x v="16"/>
    <x v="0"/>
    <x v="0"/>
    <n v="4"/>
    <x v="0"/>
    <x v="1"/>
    <x v="1"/>
    <x v="11"/>
    <s v="High Humidity"/>
    <x v="28"/>
    <n v="0.19400000000000001"/>
    <n v="1"/>
    <x v="140"/>
    <x v="108"/>
  </r>
  <r>
    <x v="588"/>
    <d v="2011-01-27T00:00:00"/>
    <x v="0"/>
    <x v="0"/>
    <x v="0"/>
    <x v="17"/>
    <x v="0"/>
    <x v="0"/>
    <n v="4"/>
    <x v="0"/>
    <x v="1"/>
    <x v="1"/>
    <x v="19"/>
    <s v="High Humidity"/>
    <x v="28"/>
    <n v="0.1045"/>
    <n v="2"/>
    <x v="70"/>
    <x v="11"/>
  </r>
  <r>
    <x v="589"/>
    <d v="2011-01-27T00:00:00"/>
    <x v="0"/>
    <x v="0"/>
    <x v="0"/>
    <x v="18"/>
    <x v="0"/>
    <x v="0"/>
    <n v="4"/>
    <x v="0"/>
    <x v="2"/>
    <x v="1"/>
    <x v="11"/>
    <s v="High Humidity"/>
    <x v="27"/>
    <n v="8.9599999999999999E-2"/>
    <n v="3"/>
    <x v="143"/>
    <x v="133"/>
  </r>
  <r>
    <x v="590"/>
    <d v="2011-01-27T00:00:00"/>
    <x v="0"/>
    <x v="0"/>
    <x v="0"/>
    <x v="19"/>
    <x v="0"/>
    <x v="0"/>
    <n v="4"/>
    <x v="0"/>
    <x v="2"/>
    <x v="1"/>
    <x v="11"/>
    <s v="High Humidity"/>
    <x v="27"/>
    <n v="8.9599999999999999E-2"/>
    <n v="3"/>
    <x v="83"/>
    <x v="67"/>
  </r>
  <r>
    <x v="591"/>
    <d v="2011-01-27T00:00:00"/>
    <x v="0"/>
    <x v="0"/>
    <x v="0"/>
    <x v="20"/>
    <x v="0"/>
    <x v="0"/>
    <n v="4"/>
    <x v="0"/>
    <x v="15"/>
    <x v="1"/>
    <x v="12"/>
    <s v="High Humidity"/>
    <x v="32"/>
    <n v="8.9599999999999999E-2"/>
    <n v="4"/>
    <x v="11"/>
    <x v="29"/>
  </r>
  <r>
    <x v="592"/>
    <d v="2011-01-27T00:00:00"/>
    <x v="0"/>
    <x v="0"/>
    <x v="0"/>
    <x v="21"/>
    <x v="0"/>
    <x v="0"/>
    <n v="4"/>
    <x v="0"/>
    <x v="15"/>
    <x v="1"/>
    <x v="12"/>
    <s v="High Humidity"/>
    <x v="32"/>
    <n v="8.9599999999999999E-2"/>
    <n v="2"/>
    <x v="49"/>
    <x v="103"/>
  </r>
  <r>
    <x v="593"/>
    <d v="2011-01-27T00:00:00"/>
    <x v="0"/>
    <x v="0"/>
    <x v="0"/>
    <x v="22"/>
    <x v="0"/>
    <x v="0"/>
    <n v="4"/>
    <x v="0"/>
    <x v="15"/>
    <x v="1"/>
    <x v="12"/>
    <s v="High Humidity"/>
    <x v="32"/>
    <n v="8.9599999999999999E-2"/>
    <n v="0"/>
    <x v="2"/>
    <x v="110"/>
  </r>
  <r>
    <x v="594"/>
    <d v="2011-01-27T00:00:00"/>
    <x v="0"/>
    <x v="0"/>
    <x v="0"/>
    <x v="23"/>
    <x v="0"/>
    <x v="0"/>
    <n v="4"/>
    <x v="0"/>
    <x v="15"/>
    <x v="1"/>
    <x v="13"/>
    <s v="High Humidity"/>
    <x v="1"/>
    <n v="0.16420000000000001"/>
    <n v="0"/>
    <x v="20"/>
    <x v="0"/>
  </r>
  <r>
    <x v="595"/>
    <d v="2011-01-28T00:00:00"/>
    <x v="0"/>
    <x v="0"/>
    <x v="0"/>
    <x v="0"/>
    <x v="0"/>
    <x v="0"/>
    <n v="5"/>
    <x v="1"/>
    <x v="2"/>
    <x v="1"/>
    <x v="12"/>
    <s v="High Humidity"/>
    <x v="2"/>
    <n v="0.1343"/>
    <n v="0"/>
    <x v="33"/>
    <x v="23"/>
  </r>
  <r>
    <x v="596"/>
    <d v="2011-01-28T00:00:00"/>
    <x v="0"/>
    <x v="0"/>
    <x v="0"/>
    <x v="1"/>
    <x v="0"/>
    <x v="0"/>
    <n v="5"/>
    <x v="1"/>
    <x v="2"/>
    <x v="1"/>
    <x v="12"/>
    <s v="High Humidity"/>
    <x v="2"/>
    <n v="0.1343"/>
    <n v="1"/>
    <x v="6"/>
    <x v="6"/>
  </r>
  <r>
    <x v="597"/>
    <d v="2011-01-28T00:00:00"/>
    <x v="0"/>
    <x v="0"/>
    <x v="0"/>
    <x v="2"/>
    <x v="0"/>
    <x v="0"/>
    <n v="5"/>
    <x v="1"/>
    <x v="2"/>
    <x v="1"/>
    <x v="12"/>
    <s v="High Humidity"/>
    <x v="2"/>
    <n v="0.16420000000000001"/>
    <n v="0"/>
    <x v="6"/>
    <x v="5"/>
  </r>
  <r>
    <x v="598"/>
    <d v="2011-01-28T00:00:00"/>
    <x v="0"/>
    <x v="0"/>
    <x v="0"/>
    <x v="3"/>
    <x v="0"/>
    <x v="0"/>
    <n v="5"/>
    <x v="1"/>
    <x v="2"/>
    <x v="1"/>
    <x v="11"/>
    <s v="High Humidity"/>
    <x v="2"/>
    <n v="0.1045"/>
    <n v="1"/>
    <x v="5"/>
    <x v="4"/>
  </r>
  <r>
    <x v="599"/>
    <d v="2011-01-28T00:00:00"/>
    <x v="0"/>
    <x v="0"/>
    <x v="0"/>
    <x v="5"/>
    <x v="0"/>
    <x v="0"/>
    <n v="5"/>
    <x v="1"/>
    <x v="15"/>
    <x v="1"/>
    <x v="12"/>
    <s v="High Humidity"/>
    <x v="1"/>
    <n v="0.1045"/>
    <n v="0"/>
    <x v="22"/>
    <x v="48"/>
  </r>
  <r>
    <x v="600"/>
    <d v="2011-01-28T00:00:00"/>
    <x v="0"/>
    <x v="0"/>
    <x v="0"/>
    <x v="6"/>
    <x v="0"/>
    <x v="0"/>
    <n v="5"/>
    <x v="1"/>
    <x v="15"/>
    <x v="1"/>
    <x v="13"/>
    <s v="High Humidity"/>
    <x v="1"/>
    <n v="0.1343"/>
    <n v="0"/>
    <x v="20"/>
    <x v="0"/>
  </r>
  <r>
    <x v="601"/>
    <d v="2011-01-28T00:00:00"/>
    <x v="0"/>
    <x v="0"/>
    <x v="0"/>
    <x v="7"/>
    <x v="0"/>
    <x v="0"/>
    <n v="5"/>
    <x v="1"/>
    <x v="13"/>
    <x v="0"/>
    <x v="13"/>
    <s v="High Humidity"/>
    <x v="3"/>
    <n v="8.9599999999999999E-2"/>
    <n v="2"/>
    <x v="29"/>
    <x v="122"/>
  </r>
  <r>
    <x v="602"/>
    <d v="2011-01-28T00:00:00"/>
    <x v="0"/>
    <x v="0"/>
    <x v="0"/>
    <x v="8"/>
    <x v="0"/>
    <x v="0"/>
    <n v="5"/>
    <x v="1"/>
    <x v="13"/>
    <x v="0"/>
    <x v="13"/>
    <s v="High Humidity"/>
    <x v="3"/>
    <n v="8.9599999999999999E-2"/>
    <n v="2"/>
    <x v="119"/>
    <x v="45"/>
  </r>
  <r>
    <x v="603"/>
    <d v="2011-01-28T00:00:00"/>
    <x v="0"/>
    <x v="0"/>
    <x v="0"/>
    <x v="9"/>
    <x v="0"/>
    <x v="0"/>
    <n v="5"/>
    <x v="2"/>
    <x v="15"/>
    <x v="1"/>
    <x v="12"/>
    <s v="High Humidity"/>
    <x v="3"/>
    <n v="8.9599999999999999E-2"/>
    <n v="6"/>
    <x v="73"/>
    <x v="129"/>
  </r>
  <r>
    <x v="604"/>
    <d v="2011-01-28T00:00:00"/>
    <x v="0"/>
    <x v="0"/>
    <x v="0"/>
    <x v="10"/>
    <x v="0"/>
    <x v="0"/>
    <n v="5"/>
    <x v="2"/>
    <x v="15"/>
    <x v="1"/>
    <x v="12"/>
    <s v="High Humidity"/>
    <x v="3"/>
    <n v="0.1045"/>
    <n v="0"/>
    <x v="47"/>
    <x v="99"/>
  </r>
  <r>
    <x v="605"/>
    <d v="2011-01-28T00:00:00"/>
    <x v="0"/>
    <x v="0"/>
    <x v="0"/>
    <x v="11"/>
    <x v="0"/>
    <x v="0"/>
    <n v="5"/>
    <x v="2"/>
    <x v="15"/>
    <x v="1"/>
    <x v="12"/>
    <s v="High Humidity"/>
    <x v="43"/>
    <n v="0.1045"/>
    <n v="0"/>
    <x v="10"/>
    <x v="33"/>
  </r>
  <r>
    <x v="606"/>
    <d v="2011-01-28T00:00:00"/>
    <x v="0"/>
    <x v="0"/>
    <x v="0"/>
    <x v="12"/>
    <x v="0"/>
    <x v="0"/>
    <n v="5"/>
    <x v="2"/>
    <x v="15"/>
    <x v="1"/>
    <x v="12"/>
    <s v="High Humidity"/>
    <x v="43"/>
    <n v="0.1045"/>
    <n v="1"/>
    <x v="95"/>
    <x v="115"/>
  </r>
  <r>
    <x v="607"/>
    <d v="2011-01-28T00:00:00"/>
    <x v="0"/>
    <x v="0"/>
    <x v="0"/>
    <x v="13"/>
    <x v="0"/>
    <x v="0"/>
    <n v="5"/>
    <x v="2"/>
    <x v="15"/>
    <x v="1"/>
    <x v="12"/>
    <s v="High Humidity"/>
    <x v="43"/>
    <n v="0.1045"/>
    <n v="0"/>
    <x v="17"/>
    <x v="35"/>
  </r>
  <r>
    <x v="608"/>
    <d v="2011-01-28T00:00:00"/>
    <x v="0"/>
    <x v="0"/>
    <x v="0"/>
    <x v="14"/>
    <x v="0"/>
    <x v="0"/>
    <n v="5"/>
    <x v="2"/>
    <x v="1"/>
    <x v="1"/>
    <x v="1"/>
    <s v="High Humidity"/>
    <x v="1"/>
    <n v="0"/>
    <n v="2"/>
    <x v="49"/>
    <x v="103"/>
  </r>
  <r>
    <x v="609"/>
    <d v="2011-01-28T00:00:00"/>
    <x v="0"/>
    <x v="0"/>
    <x v="0"/>
    <x v="15"/>
    <x v="0"/>
    <x v="0"/>
    <n v="5"/>
    <x v="1"/>
    <x v="2"/>
    <x v="1"/>
    <x v="2"/>
    <s v="High Humidity"/>
    <x v="3"/>
    <n v="0"/>
    <n v="1"/>
    <x v="71"/>
    <x v="102"/>
  </r>
  <r>
    <x v="610"/>
    <d v="2011-01-28T00:00:00"/>
    <x v="0"/>
    <x v="0"/>
    <x v="0"/>
    <x v="16"/>
    <x v="0"/>
    <x v="0"/>
    <n v="5"/>
    <x v="0"/>
    <x v="1"/>
    <x v="0"/>
    <x v="1"/>
    <s v="High Humidity"/>
    <x v="1"/>
    <n v="0"/>
    <n v="10"/>
    <x v="14"/>
    <x v="138"/>
  </r>
  <r>
    <x v="611"/>
    <d v="2011-01-28T00:00:00"/>
    <x v="0"/>
    <x v="0"/>
    <x v="0"/>
    <x v="17"/>
    <x v="0"/>
    <x v="0"/>
    <n v="5"/>
    <x v="0"/>
    <x v="0"/>
    <x v="1"/>
    <x v="19"/>
    <s v="High Humidity"/>
    <x v="2"/>
    <n v="0.1343"/>
    <n v="2"/>
    <x v="150"/>
    <x v="165"/>
  </r>
  <r>
    <x v="612"/>
    <d v="2011-01-28T00:00:00"/>
    <x v="0"/>
    <x v="0"/>
    <x v="0"/>
    <x v="18"/>
    <x v="0"/>
    <x v="0"/>
    <n v="5"/>
    <x v="0"/>
    <x v="0"/>
    <x v="1"/>
    <x v="11"/>
    <s v="High Humidity"/>
    <x v="2"/>
    <n v="0.19400000000000001"/>
    <n v="2"/>
    <x v="128"/>
    <x v="142"/>
  </r>
  <r>
    <x v="613"/>
    <d v="2011-01-28T00:00:00"/>
    <x v="0"/>
    <x v="0"/>
    <x v="0"/>
    <x v="19"/>
    <x v="0"/>
    <x v="0"/>
    <n v="5"/>
    <x v="1"/>
    <x v="0"/>
    <x v="1"/>
    <x v="19"/>
    <s v="High Humidity"/>
    <x v="2"/>
    <n v="0.1343"/>
    <n v="5"/>
    <x v="151"/>
    <x v="70"/>
  </r>
  <r>
    <x v="614"/>
    <d v="2011-01-28T00:00:00"/>
    <x v="0"/>
    <x v="0"/>
    <x v="0"/>
    <x v="20"/>
    <x v="0"/>
    <x v="0"/>
    <n v="5"/>
    <x v="1"/>
    <x v="0"/>
    <x v="1"/>
    <x v="11"/>
    <s v="High Humidity"/>
    <x v="56"/>
    <n v="0.19400000000000001"/>
    <n v="1"/>
    <x v="124"/>
    <x v="69"/>
  </r>
  <r>
    <x v="615"/>
    <d v="2011-01-28T00:00:00"/>
    <x v="0"/>
    <x v="0"/>
    <x v="0"/>
    <x v="21"/>
    <x v="0"/>
    <x v="0"/>
    <n v="5"/>
    <x v="1"/>
    <x v="1"/>
    <x v="0"/>
    <x v="11"/>
    <s v="High Humidity"/>
    <x v="2"/>
    <n v="0.1343"/>
    <n v="1"/>
    <x v="77"/>
    <x v="154"/>
  </r>
  <r>
    <x v="616"/>
    <d v="2011-01-28T00:00:00"/>
    <x v="0"/>
    <x v="0"/>
    <x v="0"/>
    <x v="22"/>
    <x v="0"/>
    <x v="0"/>
    <n v="5"/>
    <x v="0"/>
    <x v="0"/>
    <x v="1"/>
    <x v="12"/>
    <s v="High Humidity"/>
    <x v="55"/>
    <n v="0.35820000000000002"/>
    <n v="0"/>
    <x v="16"/>
    <x v="132"/>
  </r>
  <r>
    <x v="617"/>
    <d v="2011-01-28T00:00:00"/>
    <x v="0"/>
    <x v="0"/>
    <x v="0"/>
    <x v="23"/>
    <x v="0"/>
    <x v="0"/>
    <n v="5"/>
    <x v="0"/>
    <x v="0"/>
    <x v="1"/>
    <x v="11"/>
    <s v="High Humidity"/>
    <x v="54"/>
    <n v="0.22389999999999999"/>
    <n v="1"/>
    <x v="97"/>
    <x v="84"/>
  </r>
  <r>
    <x v="618"/>
    <d v="2011-01-29T00:00:00"/>
    <x v="0"/>
    <x v="0"/>
    <x v="0"/>
    <x v="0"/>
    <x v="0"/>
    <x v="0"/>
    <n v="6"/>
    <x v="0"/>
    <x v="1"/>
    <x v="0"/>
    <x v="13"/>
    <s v="High Humidity"/>
    <x v="26"/>
    <n v="0.35820000000000002"/>
    <n v="2"/>
    <x v="16"/>
    <x v="20"/>
  </r>
  <r>
    <x v="619"/>
    <d v="2011-01-29T00:00:00"/>
    <x v="0"/>
    <x v="0"/>
    <x v="0"/>
    <x v="1"/>
    <x v="0"/>
    <x v="0"/>
    <n v="6"/>
    <x v="0"/>
    <x v="1"/>
    <x v="0"/>
    <x v="11"/>
    <s v="High Humidity"/>
    <x v="26"/>
    <n v="0.19400000000000001"/>
    <n v="0"/>
    <x v="32"/>
    <x v="25"/>
  </r>
  <r>
    <x v="620"/>
    <d v="2011-01-29T00:00:00"/>
    <x v="0"/>
    <x v="0"/>
    <x v="0"/>
    <x v="2"/>
    <x v="0"/>
    <x v="0"/>
    <n v="6"/>
    <x v="0"/>
    <x v="1"/>
    <x v="0"/>
    <x v="11"/>
    <s v="High Humidity"/>
    <x v="26"/>
    <n v="0.16420000000000001"/>
    <n v="0"/>
    <x v="89"/>
    <x v="93"/>
  </r>
  <r>
    <x v="621"/>
    <d v="2011-01-29T00:00:00"/>
    <x v="0"/>
    <x v="0"/>
    <x v="0"/>
    <x v="3"/>
    <x v="0"/>
    <x v="0"/>
    <n v="6"/>
    <x v="0"/>
    <x v="2"/>
    <x v="0"/>
    <x v="12"/>
    <s v="High Humidity"/>
    <x v="26"/>
    <n v="0.1343"/>
    <n v="3"/>
    <x v="34"/>
    <x v="7"/>
  </r>
  <r>
    <x v="622"/>
    <d v="2011-01-29T00:00:00"/>
    <x v="0"/>
    <x v="0"/>
    <x v="0"/>
    <x v="4"/>
    <x v="0"/>
    <x v="0"/>
    <n v="6"/>
    <x v="0"/>
    <x v="13"/>
    <x v="0"/>
    <x v="18"/>
    <s v="High Humidity"/>
    <x v="27"/>
    <n v="0.1045"/>
    <n v="1"/>
    <x v="6"/>
    <x v="6"/>
  </r>
  <r>
    <x v="623"/>
    <d v="2011-01-29T00:00:00"/>
    <x v="0"/>
    <x v="0"/>
    <x v="0"/>
    <x v="6"/>
    <x v="0"/>
    <x v="0"/>
    <n v="6"/>
    <x v="0"/>
    <x v="13"/>
    <x v="0"/>
    <x v="18"/>
    <s v="High Humidity"/>
    <x v="26"/>
    <n v="0.1343"/>
    <n v="0"/>
    <x v="6"/>
    <x v="5"/>
  </r>
  <r>
    <x v="624"/>
    <d v="2011-01-29T00:00:00"/>
    <x v="0"/>
    <x v="0"/>
    <x v="0"/>
    <x v="7"/>
    <x v="0"/>
    <x v="0"/>
    <n v="6"/>
    <x v="0"/>
    <x v="13"/>
    <x v="0"/>
    <x v="18"/>
    <s v="Low Humidity"/>
    <x v="29"/>
    <n v="0.1045"/>
    <n v="1"/>
    <x v="22"/>
    <x v="36"/>
  </r>
  <r>
    <x v="625"/>
    <d v="2011-01-29T00:00:00"/>
    <x v="0"/>
    <x v="0"/>
    <x v="0"/>
    <x v="8"/>
    <x v="0"/>
    <x v="0"/>
    <n v="6"/>
    <x v="0"/>
    <x v="15"/>
    <x v="0"/>
    <x v="13"/>
    <s v="Low Humidity"/>
    <x v="28"/>
    <n v="0.16420000000000001"/>
    <n v="3"/>
    <x v="17"/>
    <x v="19"/>
  </r>
  <r>
    <x v="626"/>
    <d v="2011-01-29T00:00:00"/>
    <x v="0"/>
    <x v="0"/>
    <x v="0"/>
    <x v="9"/>
    <x v="0"/>
    <x v="0"/>
    <n v="6"/>
    <x v="0"/>
    <x v="15"/>
    <x v="0"/>
    <x v="12"/>
    <s v="Low Humidity"/>
    <x v="29"/>
    <n v="8.9599999999999999E-2"/>
    <n v="0"/>
    <x v="60"/>
    <x v="19"/>
  </r>
  <r>
    <x v="627"/>
    <d v="2011-01-29T00:00:00"/>
    <x v="0"/>
    <x v="0"/>
    <x v="0"/>
    <x v="10"/>
    <x v="0"/>
    <x v="0"/>
    <n v="6"/>
    <x v="1"/>
    <x v="15"/>
    <x v="0"/>
    <x v="12"/>
    <s v="High Humidity"/>
    <x v="26"/>
    <n v="0.1045"/>
    <n v="4"/>
    <x v="82"/>
    <x v="97"/>
  </r>
  <r>
    <x v="628"/>
    <d v="2011-01-29T00:00:00"/>
    <x v="0"/>
    <x v="0"/>
    <x v="0"/>
    <x v="11"/>
    <x v="0"/>
    <x v="0"/>
    <n v="6"/>
    <x v="1"/>
    <x v="15"/>
    <x v="0"/>
    <x v="13"/>
    <s v="High Humidity"/>
    <x v="26"/>
    <n v="0.1343"/>
    <n v="4"/>
    <x v="91"/>
    <x v="37"/>
  </r>
  <r>
    <x v="629"/>
    <d v="2011-01-29T00:00:00"/>
    <x v="0"/>
    <x v="0"/>
    <x v="0"/>
    <x v="12"/>
    <x v="0"/>
    <x v="0"/>
    <n v="6"/>
    <x v="1"/>
    <x v="2"/>
    <x v="0"/>
    <x v="13"/>
    <s v="Low Humidity"/>
    <x v="29"/>
    <n v="0.19400000000000001"/>
    <n v="12"/>
    <x v="43"/>
    <x v="53"/>
  </r>
  <r>
    <x v="630"/>
    <d v="2011-01-29T00:00:00"/>
    <x v="0"/>
    <x v="0"/>
    <x v="0"/>
    <x v="13"/>
    <x v="0"/>
    <x v="0"/>
    <n v="6"/>
    <x v="1"/>
    <x v="1"/>
    <x v="0"/>
    <x v="11"/>
    <s v="Low Humidity"/>
    <x v="28"/>
    <n v="0.16420000000000001"/>
    <n v="9"/>
    <x v="90"/>
    <x v="32"/>
  </r>
  <r>
    <x v="631"/>
    <d v="2011-01-29T00:00:00"/>
    <x v="0"/>
    <x v="0"/>
    <x v="0"/>
    <x v="14"/>
    <x v="0"/>
    <x v="0"/>
    <n v="6"/>
    <x v="1"/>
    <x v="1"/>
    <x v="0"/>
    <x v="11"/>
    <s v="High Humidity"/>
    <x v="54"/>
    <n v="0.1343"/>
    <n v="10"/>
    <x v="121"/>
    <x v="111"/>
  </r>
  <r>
    <x v="632"/>
    <d v="2011-01-29T00:00:00"/>
    <x v="0"/>
    <x v="0"/>
    <x v="0"/>
    <x v="15"/>
    <x v="0"/>
    <x v="0"/>
    <n v="6"/>
    <x v="0"/>
    <x v="1"/>
    <x v="0"/>
    <x v="12"/>
    <s v="High Humidity"/>
    <x v="27"/>
    <n v="0.25369999999999998"/>
    <n v="22"/>
    <x v="52"/>
    <x v="151"/>
  </r>
  <r>
    <x v="633"/>
    <d v="2011-01-29T00:00:00"/>
    <x v="0"/>
    <x v="0"/>
    <x v="0"/>
    <x v="16"/>
    <x v="0"/>
    <x v="0"/>
    <n v="6"/>
    <x v="0"/>
    <x v="0"/>
    <x v="1"/>
    <x v="19"/>
    <s v="High Humidity"/>
    <x v="54"/>
    <n v="0.16420000000000001"/>
    <n v="19"/>
    <x v="152"/>
    <x v="166"/>
  </r>
  <r>
    <x v="634"/>
    <d v="2011-01-29T00:00:00"/>
    <x v="0"/>
    <x v="0"/>
    <x v="0"/>
    <x v="17"/>
    <x v="0"/>
    <x v="0"/>
    <n v="6"/>
    <x v="0"/>
    <x v="0"/>
    <x v="1"/>
    <x v="0"/>
    <s v="High Humidity"/>
    <x v="54"/>
    <n v="0"/>
    <n v="9"/>
    <x v="70"/>
    <x v="134"/>
  </r>
  <r>
    <x v="635"/>
    <d v="2011-01-29T00:00:00"/>
    <x v="0"/>
    <x v="0"/>
    <x v="0"/>
    <x v="18"/>
    <x v="0"/>
    <x v="0"/>
    <n v="6"/>
    <x v="0"/>
    <x v="1"/>
    <x v="0"/>
    <x v="11"/>
    <s v="High Humidity"/>
    <x v="27"/>
    <n v="0.1343"/>
    <n v="9"/>
    <x v="79"/>
    <x v="118"/>
  </r>
  <r>
    <x v="636"/>
    <d v="2011-01-29T00:00:00"/>
    <x v="0"/>
    <x v="0"/>
    <x v="0"/>
    <x v="19"/>
    <x v="0"/>
    <x v="0"/>
    <n v="6"/>
    <x v="1"/>
    <x v="1"/>
    <x v="0"/>
    <x v="12"/>
    <s v="High Humidity"/>
    <x v="27"/>
    <n v="0.25369999999999998"/>
    <n v="6"/>
    <x v="15"/>
    <x v="154"/>
  </r>
  <r>
    <x v="637"/>
    <d v="2011-01-29T00:00:00"/>
    <x v="0"/>
    <x v="0"/>
    <x v="0"/>
    <x v="20"/>
    <x v="0"/>
    <x v="0"/>
    <n v="6"/>
    <x v="0"/>
    <x v="15"/>
    <x v="0"/>
    <x v="12"/>
    <s v="High Humidity"/>
    <x v="32"/>
    <n v="8.9599999999999999E-2"/>
    <n v="1"/>
    <x v="76"/>
    <x v="74"/>
  </r>
  <r>
    <x v="638"/>
    <d v="2011-01-29T00:00:00"/>
    <x v="0"/>
    <x v="0"/>
    <x v="0"/>
    <x v="21"/>
    <x v="0"/>
    <x v="0"/>
    <n v="6"/>
    <x v="0"/>
    <x v="15"/>
    <x v="0"/>
    <x v="12"/>
    <s v="High Humidity"/>
    <x v="32"/>
    <n v="8.9599999999999999E-2"/>
    <n v="1"/>
    <x v="96"/>
    <x v="9"/>
  </r>
  <r>
    <x v="639"/>
    <d v="2011-01-29T00:00:00"/>
    <x v="0"/>
    <x v="0"/>
    <x v="0"/>
    <x v="22"/>
    <x v="0"/>
    <x v="0"/>
    <n v="6"/>
    <x v="0"/>
    <x v="13"/>
    <x v="0"/>
    <x v="13"/>
    <s v="High Humidity"/>
    <x v="1"/>
    <n v="8.9599999999999999E-2"/>
    <n v="4"/>
    <x v="95"/>
    <x v="2"/>
  </r>
  <r>
    <x v="640"/>
    <d v="2011-01-29T00:00:00"/>
    <x v="0"/>
    <x v="0"/>
    <x v="0"/>
    <x v="23"/>
    <x v="0"/>
    <x v="0"/>
    <n v="6"/>
    <x v="0"/>
    <x v="13"/>
    <x v="0"/>
    <x v="13"/>
    <s v="High Humidity"/>
    <x v="1"/>
    <n v="8.9599999999999999E-2"/>
    <n v="3"/>
    <x v="10"/>
    <x v="63"/>
  </r>
  <r>
    <x v="641"/>
    <d v="2011-01-30T00:00:00"/>
    <x v="0"/>
    <x v="0"/>
    <x v="0"/>
    <x v="0"/>
    <x v="0"/>
    <x v="0"/>
    <n v="0"/>
    <x v="0"/>
    <x v="13"/>
    <x v="0"/>
    <x v="18"/>
    <s v="High Humidity"/>
    <x v="1"/>
    <n v="0.1045"/>
    <n v="0"/>
    <x v="39"/>
    <x v="63"/>
  </r>
  <r>
    <x v="642"/>
    <d v="2011-01-30T00:00:00"/>
    <x v="0"/>
    <x v="0"/>
    <x v="0"/>
    <x v="1"/>
    <x v="0"/>
    <x v="0"/>
    <n v="0"/>
    <x v="0"/>
    <x v="14"/>
    <x v="0"/>
    <x v="12"/>
    <s v="High Humidity"/>
    <x v="1"/>
    <n v="0"/>
    <n v="7"/>
    <x v="97"/>
    <x v="115"/>
  </r>
  <r>
    <x v="643"/>
    <d v="2011-01-30T00:00:00"/>
    <x v="0"/>
    <x v="0"/>
    <x v="0"/>
    <x v="2"/>
    <x v="0"/>
    <x v="0"/>
    <n v="0"/>
    <x v="0"/>
    <x v="13"/>
    <x v="0"/>
    <x v="11"/>
    <s v="High Humidity"/>
    <x v="1"/>
    <n v="0"/>
    <n v="1"/>
    <x v="3"/>
    <x v="62"/>
  </r>
  <r>
    <x v="644"/>
    <d v="2011-01-30T00:00:00"/>
    <x v="0"/>
    <x v="0"/>
    <x v="0"/>
    <x v="3"/>
    <x v="0"/>
    <x v="0"/>
    <n v="0"/>
    <x v="0"/>
    <x v="14"/>
    <x v="0"/>
    <x v="12"/>
    <s v="High Humidity"/>
    <x v="43"/>
    <n v="0"/>
    <n v="1"/>
    <x v="7"/>
    <x v="7"/>
  </r>
  <r>
    <x v="645"/>
    <d v="2011-01-30T00:00:00"/>
    <x v="0"/>
    <x v="0"/>
    <x v="0"/>
    <x v="4"/>
    <x v="0"/>
    <x v="0"/>
    <n v="0"/>
    <x v="0"/>
    <x v="14"/>
    <x v="0"/>
    <x v="12"/>
    <s v="High Humidity"/>
    <x v="43"/>
    <n v="0"/>
    <n v="0"/>
    <x v="4"/>
    <x v="4"/>
  </r>
  <r>
    <x v="646"/>
    <d v="2011-01-30T00:00:00"/>
    <x v="0"/>
    <x v="0"/>
    <x v="0"/>
    <x v="5"/>
    <x v="0"/>
    <x v="0"/>
    <n v="0"/>
    <x v="0"/>
    <x v="14"/>
    <x v="0"/>
    <x v="12"/>
    <s v="High Humidity"/>
    <x v="3"/>
    <n v="0"/>
    <n v="0"/>
    <x v="35"/>
    <x v="6"/>
  </r>
  <r>
    <x v="647"/>
    <d v="2011-01-30T00:00:00"/>
    <x v="0"/>
    <x v="0"/>
    <x v="0"/>
    <x v="7"/>
    <x v="0"/>
    <x v="0"/>
    <n v="0"/>
    <x v="0"/>
    <x v="14"/>
    <x v="0"/>
    <x v="12"/>
    <s v="High Humidity"/>
    <x v="3"/>
    <n v="0"/>
    <n v="0"/>
    <x v="35"/>
    <x v="6"/>
  </r>
  <r>
    <x v="648"/>
    <d v="2011-01-30T00:00:00"/>
    <x v="0"/>
    <x v="0"/>
    <x v="0"/>
    <x v="8"/>
    <x v="0"/>
    <x v="0"/>
    <n v="0"/>
    <x v="1"/>
    <x v="14"/>
    <x v="0"/>
    <x v="12"/>
    <s v="High Humidity"/>
    <x v="3"/>
    <n v="0"/>
    <n v="1"/>
    <x v="48"/>
    <x v="47"/>
  </r>
  <r>
    <x v="649"/>
    <d v="2011-01-30T00:00:00"/>
    <x v="0"/>
    <x v="0"/>
    <x v="0"/>
    <x v="9"/>
    <x v="0"/>
    <x v="0"/>
    <n v="0"/>
    <x v="1"/>
    <x v="13"/>
    <x v="0"/>
    <x v="11"/>
    <s v="High Humidity"/>
    <x v="1"/>
    <n v="0"/>
    <n v="4"/>
    <x v="60"/>
    <x v="103"/>
  </r>
  <r>
    <x v="650"/>
    <d v="2011-01-30T00:00:00"/>
    <x v="0"/>
    <x v="0"/>
    <x v="0"/>
    <x v="10"/>
    <x v="0"/>
    <x v="0"/>
    <n v="0"/>
    <x v="1"/>
    <x v="15"/>
    <x v="0"/>
    <x v="19"/>
    <s v="High Humidity"/>
    <x v="1"/>
    <n v="0"/>
    <n v="7"/>
    <x v="77"/>
    <x v="37"/>
  </r>
  <r>
    <x v="651"/>
    <d v="2011-01-30T00:00:00"/>
    <x v="0"/>
    <x v="0"/>
    <x v="0"/>
    <x v="11"/>
    <x v="0"/>
    <x v="0"/>
    <n v="0"/>
    <x v="0"/>
    <x v="1"/>
    <x v="0"/>
    <x v="1"/>
    <s v="High Humidity"/>
    <x v="2"/>
    <n v="0"/>
    <n v="9"/>
    <x v="54"/>
    <x v="29"/>
  </r>
  <r>
    <x v="652"/>
    <d v="2011-01-30T00:00:00"/>
    <x v="0"/>
    <x v="0"/>
    <x v="0"/>
    <x v="12"/>
    <x v="0"/>
    <x v="0"/>
    <n v="0"/>
    <x v="0"/>
    <x v="11"/>
    <x v="1"/>
    <x v="21"/>
    <s v="Low Humidity"/>
    <x v="35"/>
    <n v="0.1045"/>
    <n v="10"/>
    <x v="61"/>
    <x v="54"/>
  </r>
  <r>
    <x v="653"/>
    <d v="2011-01-30T00:00:00"/>
    <x v="0"/>
    <x v="0"/>
    <x v="0"/>
    <x v="13"/>
    <x v="0"/>
    <x v="0"/>
    <n v="0"/>
    <x v="0"/>
    <x v="17"/>
    <x v="1"/>
    <x v="0"/>
    <s v="High Humidity"/>
    <x v="53"/>
    <n v="0.1045"/>
    <n v="13"/>
    <x v="13"/>
    <x v="11"/>
  </r>
  <r>
    <x v="654"/>
    <d v="2011-01-30T00:00:00"/>
    <x v="0"/>
    <x v="0"/>
    <x v="0"/>
    <x v="14"/>
    <x v="0"/>
    <x v="0"/>
    <n v="0"/>
    <x v="0"/>
    <x v="17"/>
    <x v="1"/>
    <x v="25"/>
    <s v="High Humidity"/>
    <x v="53"/>
    <n v="8.9599999999999999E-2"/>
    <n v="18"/>
    <x v="153"/>
    <x v="78"/>
  </r>
  <r>
    <x v="655"/>
    <d v="2011-01-30T00:00:00"/>
    <x v="0"/>
    <x v="0"/>
    <x v="0"/>
    <x v="15"/>
    <x v="0"/>
    <x v="0"/>
    <n v="0"/>
    <x v="0"/>
    <x v="11"/>
    <x v="1"/>
    <x v="6"/>
    <s v="Low Humidity"/>
    <x v="34"/>
    <n v="0"/>
    <n v="14"/>
    <x v="73"/>
    <x v="142"/>
  </r>
  <r>
    <x v="656"/>
    <d v="2011-01-30T00:00:00"/>
    <x v="0"/>
    <x v="0"/>
    <x v="0"/>
    <x v="16"/>
    <x v="0"/>
    <x v="0"/>
    <n v="0"/>
    <x v="0"/>
    <x v="11"/>
    <x v="1"/>
    <x v="6"/>
    <s v="Low Humidity"/>
    <x v="34"/>
    <n v="0"/>
    <n v="19"/>
    <x v="153"/>
    <x v="92"/>
  </r>
  <r>
    <x v="657"/>
    <d v="2011-01-30T00:00:00"/>
    <x v="0"/>
    <x v="0"/>
    <x v="0"/>
    <x v="17"/>
    <x v="0"/>
    <x v="0"/>
    <n v="0"/>
    <x v="0"/>
    <x v="11"/>
    <x v="1"/>
    <x v="0"/>
    <s v="Low Humidity"/>
    <x v="34"/>
    <n v="0.19400000000000001"/>
    <n v="6"/>
    <x v="13"/>
    <x v="43"/>
  </r>
  <r>
    <x v="658"/>
    <d v="2011-01-30T00:00:00"/>
    <x v="0"/>
    <x v="0"/>
    <x v="0"/>
    <x v="18"/>
    <x v="0"/>
    <x v="0"/>
    <n v="0"/>
    <x v="0"/>
    <x v="12"/>
    <x v="1"/>
    <x v="2"/>
    <s v="High Humidity"/>
    <x v="55"/>
    <n v="0.16420000000000001"/>
    <n v="8"/>
    <x v="77"/>
    <x v="32"/>
  </r>
  <r>
    <x v="659"/>
    <d v="2011-01-30T00:00:00"/>
    <x v="0"/>
    <x v="0"/>
    <x v="0"/>
    <x v="19"/>
    <x v="0"/>
    <x v="0"/>
    <n v="0"/>
    <x v="0"/>
    <x v="12"/>
    <x v="1"/>
    <x v="2"/>
    <s v="High Humidity"/>
    <x v="55"/>
    <n v="0.19400000000000001"/>
    <n v="9"/>
    <x v="24"/>
    <x v="97"/>
  </r>
  <r>
    <x v="660"/>
    <d v="2011-01-30T00:00:00"/>
    <x v="0"/>
    <x v="0"/>
    <x v="0"/>
    <x v="20"/>
    <x v="0"/>
    <x v="0"/>
    <n v="0"/>
    <x v="1"/>
    <x v="12"/>
    <x v="1"/>
    <x v="1"/>
    <s v="High Humidity"/>
    <x v="55"/>
    <n v="0.1045"/>
    <n v="3"/>
    <x v="10"/>
    <x v="63"/>
  </r>
  <r>
    <x v="661"/>
    <d v="2011-01-30T00:00:00"/>
    <x v="0"/>
    <x v="0"/>
    <x v="0"/>
    <x v="21"/>
    <x v="0"/>
    <x v="0"/>
    <n v="0"/>
    <x v="1"/>
    <x v="0"/>
    <x v="1"/>
    <x v="19"/>
    <s v="High Humidity"/>
    <x v="56"/>
    <n v="0.16420000000000001"/>
    <n v="3"/>
    <x v="18"/>
    <x v="20"/>
  </r>
  <r>
    <x v="662"/>
    <d v="2011-01-30T00:00:00"/>
    <x v="0"/>
    <x v="0"/>
    <x v="0"/>
    <x v="22"/>
    <x v="0"/>
    <x v="0"/>
    <n v="0"/>
    <x v="1"/>
    <x v="0"/>
    <x v="1"/>
    <x v="11"/>
    <s v="High Humidity"/>
    <x v="56"/>
    <n v="0.19400000000000001"/>
    <n v="2"/>
    <x v="23"/>
    <x v="137"/>
  </r>
  <r>
    <x v="663"/>
    <d v="2011-01-30T00:00:00"/>
    <x v="0"/>
    <x v="0"/>
    <x v="0"/>
    <x v="23"/>
    <x v="0"/>
    <x v="0"/>
    <n v="0"/>
    <x v="1"/>
    <x v="0"/>
    <x v="1"/>
    <x v="12"/>
    <s v="High Humidity"/>
    <x v="55"/>
    <n v="0.28360000000000002"/>
    <n v="5"/>
    <x v="20"/>
    <x v="137"/>
  </r>
  <r>
    <x v="664"/>
    <d v="2011-01-31T00:00:00"/>
    <x v="0"/>
    <x v="0"/>
    <x v="0"/>
    <x v="0"/>
    <x v="0"/>
    <x v="0"/>
    <n v="1"/>
    <x v="1"/>
    <x v="0"/>
    <x v="1"/>
    <x v="11"/>
    <s v="High Humidity"/>
    <x v="55"/>
    <n v="0.22389999999999999"/>
    <n v="1"/>
    <x v="8"/>
    <x v="85"/>
  </r>
  <r>
    <x v="665"/>
    <d v="2011-01-31T00:00:00"/>
    <x v="0"/>
    <x v="0"/>
    <x v="0"/>
    <x v="1"/>
    <x v="0"/>
    <x v="0"/>
    <n v="1"/>
    <x v="0"/>
    <x v="1"/>
    <x v="0"/>
    <x v="12"/>
    <s v="High Humidity"/>
    <x v="26"/>
    <n v="0.25369999999999998"/>
    <n v="2"/>
    <x v="34"/>
    <x v="85"/>
  </r>
  <r>
    <x v="666"/>
    <d v="2011-01-31T00:00:00"/>
    <x v="0"/>
    <x v="0"/>
    <x v="0"/>
    <x v="2"/>
    <x v="0"/>
    <x v="0"/>
    <n v="1"/>
    <x v="0"/>
    <x v="1"/>
    <x v="0"/>
    <x v="11"/>
    <s v="High Humidity"/>
    <x v="26"/>
    <n v="0.19400000000000001"/>
    <n v="0"/>
    <x v="4"/>
    <x v="4"/>
  </r>
  <r>
    <x v="667"/>
    <d v="2011-01-31T00:00:00"/>
    <x v="0"/>
    <x v="0"/>
    <x v="0"/>
    <x v="3"/>
    <x v="0"/>
    <x v="0"/>
    <n v="1"/>
    <x v="0"/>
    <x v="1"/>
    <x v="0"/>
    <x v="11"/>
    <s v="High Humidity"/>
    <x v="26"/>
    <n v="0.19400000000000001"/>
    <n v="0"/>
    <x v="6"/>
    <x v="5"/>
  </r>
  <r>
    <x v="668"/>
    <d v="2011-01-31T00:00:00"/>
    <x v="0"/>
    <x v="0"/>
    <x v="0"/>
    <x v="4"/>
    <x v="0"/>
    <x v="0"/>
    <n v="1"/>
    <x v="0"/>
    <x v="2"/>
    <x v="0"/>
    <x v="13"/>
    <s v="Low Humidity"/>
    <x v="29"/>
    <n v="0.22389999999999999"/>
    <n v="0"/>
    <x v="6"/>
    <x v="5"/>
  </r>
  <r>
    <x v="669"/>
    <d v="2011-01-31T00:00:00"/>
    <x v="0"/>
    <x v="0"/>
    <x v="0"/>
    <x v="5"/>
    <x v="0"/>
    <x v="0"/>
    <n v="1"/>
    <x v="0"/>
    <x v="15"/>
    <x v="0"/>
    <x v="17"/>
    <s v="High Humidity"/>
    <x v="26"/>
    <n v="0.28360000000000002"/>
    <n v="0"/>
    <x v="21"/>
    <x v="7"/>
  </r>
  <r>
    <x v="670"/>
    <d v="2011-01-31T00:00:00"/>
    <x v="0"/>
    <x v="0"/>
    <x v="0"/>
    <x v="6"/>
    <x v="0"/>
    <x v="0"/>
    <n v="1"/>
    <x v="0"/>
    <x v="13"/>
    <x v="0"/>
    <x v="14"/>
    <s v="High Humidity"/>
    <x v="27"/>
    <n v="0.32840000000000003"/>
    <n v="0"/>
    <x v="53"/>
    <x v="18"/>
  </r>
  <r>
    <x v="671"/>
    <d v="2011-01-31T00:00:00"/>
    <x v="0"/>
    <x v="0"/>
    <x v="0"/>
    <x v="7"/>
    <x v="0"/>
    <x v="0"/>
    <n v="1"/>
    <x v="1"/>
    <x v="13"/>
    <x v="0"/>
    <x v="14"/>
    <s v="High Humidity"/>
    <x v="26"/>
    <n v="0.28360000000000002"/>
    <n v="1"/>
    <x v="13"/>
    <x v="44"/>
  </r>
  <r>
    <x v="672"/>
    <d v="2011-01-31T00:00:00"/>
    <x v="0"/>
    <x v="0"/>
    <x v="0"/>
    <x v="8"/>
    <x v="0"/>
    <x v="0"/>
    <n v="1"/>
    <x v="1"/>
    <x v="13"/>
    <x v="0"/>
    <x v="14"/>
    <s v="Low Humidity"/>
    <x v="29"/>
    <n v="0.28360000000000002"/>
    <n v="3"/>
    <x v="154"/>
    <x v="147"/>
  </r>
  <r>
    <x v="673"/>
    <d v="2011-01-31T00:00:00"/>
    <x v="0"/>
    <x v="0"/>
    <x v="0"/>
    <x v="9"/>
    <x v="0"/>
    <x v="0"/>
    <n v="1"/>
    <x v="1"/>
    <x v="13"/>
    <x v="0"/>
    <x v="14"/>
    <s v="Low Humidity"/>
    <x v="29"/>
    <n v="0.29849999999999999"/>
    <n v="0"/>
    <x v="155"/>
    <x v="59"/>
  </r>
  <r>
    <x v="674"/>
    <d v="2011-01-31T00:00:00"/>
    <x v="0"/>
    <x v="0"/>
    <x v="0"/>
    <x v="10"/>
    <x v="0"/>
    <x v="0"/>
    <n v="1"/>
    <x v="1"/>
    <x v="13"/>
    <x v="0"/>
    <x v="20"/>
    <s v="Low Humidity"/>
    <x v="29"/>
    <n v="0.19400000000000001"/>
    <n v="1"/>
    <x v="56"/>
    <x v="83"/>
  </r>
  <r>
    <x v="675"/>
    <d v="2011-01-31T00:00:00"/>
    <x v="0"/>
    <x v="0"/>
    <x v="0"/>
    <x v="11"/>
    <x v="0"/>
    <x v="0"/>
    <n v="1"/>
    <x v="1"/>
    <x v="13"/>
    <x v="0"/>
    <x v="20"/>
    <s v="Low Humidity"/>
    <x v="29"/>
    <n v="0.19400000000000001"/>
    <n v="2"/>
    <x v="24"/>
    <x v="61"/>
  </r>
  <r>
    <x v="676"/>
    <d v="2011-01-31T00:00:00"/>
    <x v="0"/>
    <x v="0"/>
    <x v="0"/>
    <x v="12"/>
    <x v="0"/>
    <x v="0"/>
    <n v="1"/>
    <x v="1"/>
    <x v="15"/>
    <x v="0"/>
    <x v="12"/>
    <s v="Low Humidity"/>
    <x v="28"/>
    <n v="0.1045"/>
    <n v="6"/>
    <x v="133"/>
    <x v="118"/>
  </r>
  <r>
    <x v="677"/>
    <d v="2011-01-31T00:00:00"/>
    <x v="0"/>
    <x v="0"/>
    <x v="0"/>
    <x v="13"/>
    <x v="0"/>
    <x v="0"/>
    <n v="1"/>
    <x v="1"/>
    <x v="13"/>
    <x v="0"/>
    <x v="11"/>
    <s v="Low Humidity"/>
    <x v="29"/>
    <n v="0"/>
    <n v="2"/>
    <x v="15"/>
    <x v="60"/>
  </r>
  <r>
    <x v="678"/>
    <d v="2011-01-31T00:00:00"/>
    <x v="0"/>
    <x v="0"/>
    <x v="0"/>
    <x v="14"/>
    <x v="0"/>
    <x v="0"/>
    <n v="1"/>
    <x v="1"/>
    <x v="15"/>
    <x v="0"/>
    <x v="13"/>
    <s v="Low Humidity"/>
    <x v="28"/>
    <n v="0.1343"/>
    <n v="1"/>
    <x v="66"/>
    <x v="80"/>
  </r>
  <r>
    <x v="679"/>
    <d v="2011-01-31T00:00:00"/>
    <x v="0"/>
    <x v="0"/>
    <x v="0"/>
    <x v="15"/>
    <x v="0"/>
    <x v="0"/>
    <n v="1"/>
    <x v="1"/>
    <x v="13"/>
    <x v="0"/>
    <x v="18"/>
    <s v="Low Humidity"/>
    <x v="29"/>
    <n v="0.1343"/>
    <n v="3"/>
    <x v="40"/>
    <x v="40"/>
  </r>
  <r>
    <x v="680"/>
    <d v="2011-01-31T00:00:00"/>
    <x v="0"/>
    <x v="0"/>
    <x v="0"/>
    <x v="16"/>
    <x v="0"/>
    <x v="0"/>
    <n v="1"/>
    <x v="1"/>
    <x v="13"/>
    <x v="0"/>
    <x v="18"/>
    <s v="Low Humidity"/>
    <x v="34"/>
    <n v="0.19400000000000001"/>
    <n v="3"/>
    <x v="93"/>
    <x v="80"/>
  </r>
  <r>
    <x v="681"/>
    <d v="2011-01-31T00:00:00"/>
    <x v="0"/>
    <x v="0"/>
    <x v="0"/>
    <x v="17"/>
    <x v="0"/>
    <x v="0"/>
    <n v="1"/>
    <x v="1"/>
    <x v="13"/>
    <x v="0"/>
    <x v="20"/>
    <s v="Low Humidity"/>
    <x v="29"/>
    <n v="0.19400000000000001"/>
    <n v="6"/>
    <x v="119"/>
    <x v="143"/>
  </r>
  <r>
    <x v="682"/>
    <d v="2011-01-31T00:00:00"/>
    <x v="0"/>
    <x v="0"/>
    <x v="0"/>
    <x v="18"/>
    <x v="0"/>
    <x v="0"/>
    <n v="1"/>
    <x v="1"/>
    <x v="13"/>
    <x v="0"/>
    <x v="20"/>
    <s v="Low Humidity"/>
    <x v="28"/>
    <n v="0.22389999999999999"/>
    <n v="3"/>
    <x v="37"/>
    <x v="167"/>
  </r>
  <r>
    <x v="683"/>
    <d v="2011-01-31T00:00:00"/>
    <x v="0"/>
    <x v="0"/>
    <x v="0"/>
    <x v="19"/>
    <x v="0"/>
    <x v="0"/>
    <n v="1"/>
    <x v="0"/>
    <x v="11"/>
    <x v="1"/>
    <x v="21"/>
    <s v="High Humidity"/>
    <x v="53"/>
    <n v="0.1045"/>
    <n v="3"/>
    <x v="123"/>
    <x v="168"/>
  </r>
  <r>
    <x v="684"/>
    <d v="2011-01-31T00:00:00"/>
    <x v="0"/>
    <x v="0"/>
    <x v="0"/>
    <x v="20"/>
    <x v="0"/>
    <x v="0"/>
    <n v="1"/>
    <x v="2"/>
    <x v="13"/>
    <x v="0"/>
    <x v="17"/>
    <s v="Low Humidity"/>
    <x v="29"/>
    <n v="0.16420000000000001"/>
    <n v="0"/>
    <x v="78"/>
    <x v="53"/>
  </r>
  <r>
    <x v="685"/>
    <d v="2011-01-31T00:00:00"/>
    <x v="0"/>
    <x v="0"/>
    <x v="0"/>
    <x v="21"/>
    <x v="0"/>
    <x v="0"/>
    <n v="1"/>
    <x v="2"/>
    <x v="13"/>
    <x v="0"/>
    <x v="13"/>
    <s v="Low Humidity"/>
    <x v="29"/>
    <n v="8.9599999999999999E-2"/>
    <n v="3"/>
    <x v="42"/>
    <x v="10"/>
  </r>
  <r>
    <x v="686"/>
    <d v="2011-01-31T00:00:00"/>
    <x v="0"/>
    <x v="0"/>
    <x v="0"/>
    <x v="22"/>
    <x v="0"/>
    <x v="0"/>
    <n v="1"/>
    <x v="1"/>
    <x v="13"/>
    <x v="0"/>
    <x v="18"/>
    <s v="Low Humidity"/>
    <x v="29"/>
    <n v="0.1045"/>
    <n v="0"/>
    <x v="60"/>
    <x v="19"/>
  </r>
  <r>
    <x v="687"/>
    <d v="2011-01-31T00:00:00"/>
    <x v="0"/>
    <x v="0"/>
    <x v="0"/>
    <x v="23"/>
    <x v="0"/>
    <x v="0"/>
    <n v="1"/>
    <x v="1"/>
    <x v="13"/>
    <x v="0"/>
    <x v="13"/>
    <s v="High Humidity"/>
    <x v="26"/>
    <n v="8.9599999999999999E-2"/>
    <n v="2"/>
    <x v="89"/>
    <x v="22"/>
  </r>
  <r>
    <x v="688"/>
    <d v="2011-02-01T00:00:00"/>
    <x v="0"/>
    <x v="0"/>
    <x v="1"/>
    <x v="0"/>
    <x v="0"/>
    <x v="0"/>
    <n v="2"/>
    <x v="1"/>
    <x v="13"/>
    <x v="0"/>
    <x v="18"/>
    <s v="High Humidity"/>
    <x v="26"/>
    <n v="0.1045"/>
    <n v="2"/>
    <x v="8"/>
    <x v="7"/>
  </r>
  <r>
    <x v="689"/>
    <d v="2011-02-01T00:00:00"/>
    <x v="0"/>
    <x v="0"/>
    <x v="1"/>
    <x v="1"/>
    <x v="0"/>
    <x v="0"/>
    <n v="2"/>
    <x v="1"/>
    <x v="13"/>
    <x v="0"/>
    <x v="18"/>
    <s v="High Humidity"/>
    <x v="27"/>
    <n v="0.1045"/>
    <n v="0"/>
    <x v="35"/>
    <x v="6"/>
  </r>
  <r>
    <x v="690"/>
    <d v="2011-02-01T00:00:00"/>
    <x v="0"/>
    <x v="0"/>
    <x v="1"/>
    <x v="2"/>
    <x v="0"/>
    <x v="0"/>
    <n v="2"/>
    <x v="1"/>
    <x v="13"/>
    <x v="0"/>
    <x v="11"/>
    <s v="High Humidity"/>
    <x v="27"/>
    <n v="0"/>
    <n v="0"/>
    <x v="6"/>
    <x v="5"/>
  </r>
  <r>
    <x v="691"/>
    <d v="2011-02-01T00:00:00"/>
    <x v="0"/>
    <x v="0"/>
    <x v="1"/>
    <x v="3"/>
    <x v="0"/>
    <x v="0"/>
    <n v="2"/>
    <x v="1"/>
    <x v="13"/>
    <x v="0"/>
    <x v="11"/>
    <s v="High Humidity"/>
    <x v="27"/>
    <n v="0"/>
    <n v="0"/>
    <x v="6"/>
    <x v="5"/>
  </r>
  <r>
    <x v="692"/>
    <d v="2011-02-01T00:00:00"/>
    <x v="0"/>
    <x v="0"/>
    <x v="1"/>
    <x v="5"/>
    <x v="0"/>
    <x v="0"/>
    <n v="2"/>
    <x v="2"/>
    <x v="14"/>
    <x v="0"/>
    <x v="12"/>
    <s v="High Humidity"/>
    <x v="43"/>
    <n v="0"/>
    <n v="0"/>
    <x v="35"/>
    <x v="6"/>
  </r>
  <r>
    <x v="693"/>
    <d v="2011-02-01T00:00:00"/>
    <x v="0"/>
    <x v="0"/>
    <x v="1"/>
    <x v="6"/>
    <x v="0"/>
    <x v="0"/>
    <n v="2"/>
    <x v="2"/>
    <x v="14"/>
    <x v="0"/>
    <x v="12"/>
    <s v="High Humidity"/>
    <x v="43"/>
    <n v="0"/>
    <n v="0"/>
    <x v="97"/>
    <x v="34"/>
  </r>
  <r>
    <x v="694"/>
    <d v="2011-02-01T00:00:00"/>
    <x v="0"/>
    <x v="0"/>
    <x v="1"/>
    <x v="7"/>
    <x v="0"/>
    <x v="0"/>
    <n v="2"/>
    <x v="2"/>
    <x v="13"/>
    <x v="0"/>
    <x v="11"/>
    <s v="High Humidity"/>
    <x v="43"/>
    <n v="0"/>
    <n v="0"/>
    <x v="15"/>
    <x v="46"/>
  </r>
  <r>
    <x v="695"/>
    <d v="2011-02-01T00:00:00"/>
    <x v="0"/>
    <x v="0"/>
    <x v="1"/>
    <x v="8"/>
    <x v="0"/>
    <x v="0"/>
    <n v="2"/>
    <x v="2"/>
    <x v="13"/>
    <x v="0"/>
    <x v="11"/>
    <s v="High Humidity"/>
    <x v="43"/>
    <n v="0"/>
    <n v="3"/>
    <x v="126"/>
    <x v="169"/>
  </r>
  <r>
    <x v="696"/>
    <d v="2011-02-01T00:00:00"/>
    <x v="0"/>
    <x v="0"/>
    <x v="1"/>
    <x v="9"/>
    <x v="0"/>
    <x v="0"/>
    <n v="2"/>
    <x v="1"/>
    <x v="13"/>
    <x v="0"/>
    <x v="11"/>
    <s v="High Humidity"/>
    <x v="43"/>
    <n v="0"/>
    <n v="2"/>
    <x v="156"/>
    <x v="155"/>
  </r>
  <r>
    <x v="697"/>
    <d v="2011-02-01T00:00:00"/>
    <x v="0"/>
    <x v="0"/>
    <x v="1"/>
    <x v="10"/>
    <x v="0"/>
    <x v="0"/>
    <n v="2"/>
    <x v="1"/>
    <x v="13"/>
    <x v="0"/>
    <x v="11"/>
    <s v="High Humidity"/>
    <x v="43"/>
    <n v="0"/>
    <n v="0"/>
    <x v="12"/>
    <x v="105"/>
  </r>
  <r>
    <x v="698"/>
    <d v="2011-02-01T00:00:00"/>
    <x v="0"/>
    <x v="0"/>
    <x v="1"/>
    <x v="11"/>
    <x v="0"/>
    <x v="0"/>
    <n v="2"/>
    <x v="1"/>
    <x v="15"/>
    <x v="0"/>
    <x v="19"/>
    <s v="High Humidity"/>
    <x v="3"/>
    <n v="0"/>
    <n v="2"/>
    <x v="47"/>
    <x v="41"/>
  </r>
  <r>
    <x v="699"/>
    <d v="2011-02-01T00:00:00"/>
    <x v="0"/>
    <x v="0"/>
    <x v="1"/>
    <x v="12"/>
    <x v="0"/>
    <x v="0"/>
    <n v="2"/>
    <x v="1"/>
    <x v="2"/>
    <x v="0"/>
    <x v="2"/>
    <s v="High Humidity"/>
    <x v="3"/>
    <n v="0"/>
    <n v="2"/>
    <x v="42"/>
    <x v="97"/>
  </r>
  <r>
    <x v="700"/>
    <d v="2011-02-01T00:00:00"/>
    <x v="0"/>
    <x v="0"/>
    <x v="1"/>
    <x v="13"/>
    <x v="0"/>
    <x v="0"/>
    <n v="2"/>
    <x v="1"/>
    <x v="2"/>
    <x v="0"/>
    <x v="2"/>
    <s v="High Humidity"/>
    <x v="3"/>
    <n v="0"/>
    <n v="3"/>
    <x v="47"/>
    <x v="46"/>
  </r>
  <r>
    <x v="701"/>
    <d v="2011-02-01T00:00:00"/>
    <x v="0"/>
    <x v="0"/>
    <x v="1"/>
    <x v="14"/>
    <x v="0"/>
    <x v="0"/>
    <n v="2"/>
    <x v="1"/>
    <x v="1"/>
    <x v="0"/>
    <x v="2"/>
    <s v="High Humidity"/>
    <x v="1"/>
    <n v="8.9599999999999999E-2"/>
    <n v="5"/>
    <x v="47"/>
    <x v="60"/>
  </r>
  <r>
    <x v="702"/>
    <d v="2011-02-01T00:00:00"/>
    <x v="0"/>
    <x v="0"/>
    <x v="1"/>
    <x v="15"/>
    <x v="0"/>
    <x v="0"/>
    <n v="2"/>
    <x v="1"/>
    <x v="0"/>
    <x v="1"/>
    <x v="0"/>
    <s v="High Humidity"/>
    <x v="2"/>
    <n v="0"/>
    <n v="7"/>
    <x v="108"/>
    <x v="46"/>
  </r>
  <r>
    <x v="703"/>
    <d v="2011-02-01T00:00:00"/>
    <x v="0"/>
    <x v="0"/>
    <x v="1"/>
    <x v="16"/>
    <x v="0"/>
    <x v="0"/>
    <n v="2"/>
    <x v="1"/>
    <x v="0"/>
    <x v="1"/>
    <x v="19"/>
    <s v="High Humidity"/>
    <x v="2"/>
    <n v="0.1343"/>
    <n v="3"/>
    <x v="124"/>
    <x v="37"/>
  </r>
  <r>
    <x v="704"/>
    <d v="2011-02-01T00:00:00"/>
    <x v="0"/>
    <x v="0"/>
    <x v="1"/>
    <x v="17"/>
    <x v="0"/>
    <x v="0"/>
    <n v="2"/>
    <x v="1"/>
    <x v="0"/>
    <x v="1"/>
    <x v="0"/>
    <s v="High Humidity"/>
    <x v="2"/>
    <n v="0"/>
    <n v="4"/>
    <x v="157"/>
    <x v="170"/>
  </r>
  <r>
    <x v="705"/>
    <d v="2011-02-01T00:00:00"/>
    <x v="0"/>
    <x v="0"/>
    <x v="1"/>
    <x v="18"/>
    <x v="0"/>
    <x v="0"/>
    <n v="2"/>
    <x v="1"/>
    <x v="0"/>
    <x v="1"/>
    <x v="2"/>
    <s v="High Humidity"/>
    <x v="0"/>
    <n v="0.1045"/>
    <n v="3"/>
    <x v="158"/>
    <x v="171"/>
  </r>
  <r>
    <x v="706"/>
    <d v="2011-02-01T00:00:00"/>
    <x v="0"/>
    <x v="0"/>
    <x v="1"/>
    <x v="19"/>
    <x v="0"/>
    <x v="0"/>
    <n v="2"/>
    <x v="1"/>
    <x v="0"/>
    <x v="1"/>
    <x v="19"/>
    <s v="High Humidity"/>
    <x v="0"/>
    <n v="0.1343"/>
    <n v="3"/>
    <x v="159"/>
    <x v="159"/>
  </r>
  <r>
    <x v="707"/>
    <d v="2011-02-01T00:00:00"/>
    <x v="0"/>
    <x v="0"/>
    <x v="1"/>
    <x v="20"/>
    <x v="0"/>
    <x v="0"/>
    <n v="2"/>
    <x v="1"/>
    <x v="1"/>
    <x v="0"/>
    <x v="11"/>
    <s v="High Humidity"/>
    <x v="9"/>
    <n v="0.1343"/>
    <n v="5"/>
    <x v="94"/>
    <x v="30"/>
  </r>
  <r>
    <x v="708"/>
    <d v="2011-02-01T00:00:00"/>
    <x v="0"/>
    <x v="0"/>
    <x v="1"/>
    <x v="21"/>
    <x v="0"/>
    <x v="0"/>
    <n v="2"/>
    <x v="1"/>
    <x v="1"/>
    <x v="0"/>
    <x v="11"/>
    <s v="High Humidity"/>
    <x v="9"/>
    <n v="0.1343"/>
    <n v="0"/>
    <x v="27"/>
    <x v="37"/>
  </r>
  <r>
    <x v="709"/>
    <d v="2011-02-01T00:00:00"/>
    <x v="0"/>
    <x v="0"/>
    <x v="1"/>
    <x v="22"/>
    <x v="0"/>
    <x v="0"/>
    <n v="2"/>
    <x v="1"/>
    <x v="1"/>
    <x v="0"/>
    <x v="2"/>
    <s v="High Humidity"/>
    <x v="9"/>
    <n v="8.9599999999999999E-2"/>
    <n v="2"/>
    <x v="60"/>
    <x v="9"/>
  </r>
  <r>
    <x v="710"/>
    <d v="2011-02-01T00:00:00"/>
    <x v="0"/>
    <x v="0"/>
    <x v="1"/>
    <x v="23"/>
    <x v="0"/>
    <x v="0"/>
    <n v="2"/>
    <x v="2"/>
    <x v="2"/>
    <x v="0"/>
    <x v="13"/>
    <s v="High Humidity"/>
    <x v="43"/>
    <n v="0.19400000000000001"/>
    <n v="1"/>
    <x v="89"/>
    <x v="0"/>
  </r>
  <r>
    <x v="711"/>
    <d v="2011-02-02T00:00:00"/>
    <x v="0"/>
    <x v="0"/>
    <x v="1"/>
    <x v="0"/>
    <x v="0"/>
    <x v="0"/>
    <n v="3"/>
    <x v="2"/>
    <x v="1"/>
    <x v="0"/>
    <x v="19"/>
    <s v="High Humidity"/>
    <x v="43"/>
    <n v="0.1045"/>
    <n v="0"/>
    <x v="6"/>
    <x v="5"/>
  </r>
  <r>
    <x v="712"/>
    <d v="2011-02-02T00:00:00"/>
    <x v="0"/>
    <x v="0"/>
    <x v="1"/>
    <x v="1"/>
    <x v="0"/>
    <x v="0"/>
    <n v="3"/>
    <x v="2"/>
    <x v="1"/>
    <x v="0"/>
    <x v="11"/>
    <s v="High Humidity"/>
    <x v="43"/>
    <n v="0.19400000000000001"/>
    <n v="0"/>
    <x v="35"/>
    <x v="6"/>
  </r>
  <r>
    <x v="713"/>
    <d v="2011-02-02T00:00:00"/>
    <x v="0"/>
    <x v="0"/>
    <x v="1"/>
    <x v="2"/>
    <x v="0"/>
    <x v="0"/>
    <n v="3"/>
    <x v="2"/>
    <x v="1"/>
    <x v="0"/>
    <x v="11"/>
    <s v="High Humidity"/>
    <x v="43"/>
    <n v="0.1343"/>
    <n v="4"/>
    <x v="5"/>
    <x v="48"/>
  </r>
  <r>
    <x v="714"/>
    <d v="2011-02-02T00:00:00"/>
    <x v="0"/>
    <x v="0"/>
    <x v="1"/>
    <x v="3"/>
    <x v="0"/>
    <x v="0"/>
    <n v="3"/>
    <x v="2"/>
    <x v="1"/>
    <x v="0"/>
    <x v="11"/>
    <s v="High Humidity"/>
    <x v="43"/>
    <n v="0.1343"/>
    <n v="0"/>
    <x v="4"/>
    <x v="4"/>
  </r>
  <r>
    <x v="715"/>
    <d v="2011-02-02T00:00:00"/>
    <x v="0"/>
    <x v="0"/>
    <x v="1"/>
    <x v="4"/>
    <x v="0"/>
    <x v="0"/>
    <n v="3"/>
    <x v="2"/>
    <x v="1"/>
    <x v="0"/>
    <x v="12"/>
    <s v="High Humidity"/>
    <x v="43"/>
    <n v="0.28360000000000002"/>
    <n v="0"/>
    <x v="4"/>
    <x v="4"/>
  </r>
  <r>
    <x v="716"/>
    <d v="2011-02-02T00:00:00"/>
    <x v="0"/>
    <x v="0"/>
    <x v="1"/>
    <x v="5"/>
    <x v="0"/>
    <x v="0"/>
    <n v="3"/>
    <x v="2"/>
    <x v="1"/>
    <x v="0"/>
    <x v="19"/>
    <s v="High Humidity"/>
    <x v="43"/>
    <n v="0.1045"/>
    <n v="0"/>
    <x v="35"/>
    <x v="6"/>
  </r>
  <r>
    <x v="717"/>
    <d v="2011-02-02T00:00:00"/>
    <x v="0"/>
    <x v="0"/>
    <x v="1"/>
    <x v="6"/>
    <x v="0"/>
    <x v="0"/>
    <n v="3"/>
    <x v="2"/>
    <x v="1"/>
    <x v="0"/>
    <x v="19"/>
    <s v="High Humidity"/>
    <x v="43"/>
    <n v="0.1045"/>
    <n v="1"/>
    <x v="19"/>
    <x v="109"/>
  </r>
  <r>
    <x v="718"/>
    <d v="2011-02-02T00:00:00"/>
    <x v="0"/>
    <x v="0"/>
    <x v="1"/>
    <x v="7"/>
    <x v="0"/>
    <x v="0"/>
    <n v="3"/>
    <x v="2"/>
    <x v="1"/>
    <x v="0"/>
    <x v="12"/>
    <s v="High Humidity"/>
    <x v="43"/>
    <n v="0.22389999999999999"/>
    <n v="1"/>
    <x v="41"/>
    <x v="99"/>
  </r>
  <r>
    <x v="719"/>
    <d v="2011-02-02T00:00:00"/>
    <x v="0"/>
    <x v="0"/>
    <x v="1"/>
    <x v="8"/>
    <x v="0"/>
    <x v="0"/>
    <n v="3"/>
    <x v="2"/>
    <x v="1"/>
    <x v="0"/>
    <x v="12"/>
    <s v="High Humidity"/>
    <x v="43"/>
    <n v="0.22389999999999999"/>
    <n v="1"/>
    <x v="105"/>
    <x v="107"/>
  </r>
  <r>
    <x v="720"/>
    <d v="2011-02-02T00:00:00"/>
    <x v="0"/>
    <x v="0"/>
    <x v="1"/>
    <x v="9"/>
    <x v="0"/>
    <x v="0"/>
    <n v="3"/>
    <x v="1"/>
    <x v="0"/>
    <x v="1"/>
    <x v="2"/>
    <s v="High Humidity"/>
    <x v="43"/>
    <n v="8.9599999999999999E-2"/>
    <n v="4"/>
    <x v="138"/>
    <x v="92"/>
  </r>
  <r>
    <x v="721"/>
    <d v="2011-02-02T00:00:00"/>
    <x v="0"/>
    <x v="0"/>
    <x v="1"/>
    <x v="10"/>
    <x v="0"/>
    <x v="0"/>
    <n v="3"/>
    <x v="1"/>
    <x v="1"/>
    <x v="0"/>
    <x v="1"/>
    <s v="High Humidity"/>
    <x v="11"/>
    <n v="0"/>
    <n v="2"/>
    <x v="79"/>
    <x v="42"/>
  </r>
  <r>
    <x v="722"/>
    <d v="2011-02-02T00:00:00"/>
    <x v="0"/>
    <x v="0"/>
    <x v="1"/>
    <x v="11"/>
    <x v="0"/>
    <x v="0"/>
    <n v="3"/>
    <x v="1"/>
    <x v="0"/>
    <x v="1"/>
    <x v="11"/>
    <s v="High Humidity"/>
    <x v="43"/>
    <n v="0.19400000000000001"/>
    <n v="5"/>
    <x v="12"/>
    <x v="46"/>
  </r>
  <r>
    <x v="723"/>
    <d v="2011-02-02T00:00:00"/>
    <x v="0"/>
    <x v="0"/>
    <x v="1"/>
    <x v="12"/>
    <x v="0"/>
    <x v="0"/>
    <n v="3"/>
    <x v="1"/>
    <x v="0"/>
    <x v="1"/>
    <x v="11"/>
    <s v="High Humidity"/>
    <x v="43"/>
    <n v="0.22389999999999999"/>
    <n v="3"/>
    <x v="124"/>
    <x v="37"/>
  </r>
  <r>
    <x v="724"/>
    <d v="2011-02-02T00:00:00"/>
    <x v="0"/>
    <x v="0"/>
    <x v="1"/>
    <x v="13"/>
    <x v="0"/>
    <x v="0"/>
    <n v="3"/>
    <x v="0"/>
    <x v="10"/>
    <x v="1"/>
    <x v="6"/>
    <s v="High Humidity"/>
    <x v="43"/>
    <n v="0.16420000000000001"/>
    <n v="1"/>
    <x v="64"/>
    <x v="28"/>
  </r>
  <r>
    <x v="725"/>
    <d v="2011-02-02T00:00:00"/>
    <x v="0"/>
    <x v="0"/>
    <x v="1"/>
    <x v="14"/>
    <x v="0"/>
    <x v="0"/>
    <n v="3"/>
    <x v="0"/>
    <x v="4"/>
    <x v="1"/>
    <x v="5"/>
    <s v="High Humidity"/>
    <x v="7"/>
    <n v="0.3881"/>
    <n v="2"/>
    <x v="124"/>
    <x v="55"/>
  </r>
  <r>
    <x v="726"/>
    <d v="2011-02-02T00:00:00"/>
    <x v="0"/>
    <x v="0"/>
    <x v="1"/>
    <x v="15"/>
    <x v="0"/>
    <x v="0"/>
    <n v="3"/>
    <x v="0"/>
    <x v="4"/>
    <x v="1"/>
    <x v="5"/>
    <s v="High Humidity"/>
    <x v="4"/>
    <n v="0.32840000000000003"/>
    <n v="10"/>
    <x v="43"/>
    <x v="31"/>
  </r>
  <r>
    <x v="727"/>
    <d v="2011-02-02T00:00:00"/>
    <x v="0"/>
    <x v="0"/>
    <x v="1"/>
    <x v="16"/>
    <x v="0"/>
    <x v="0"/>
    <n v="3"/>
    <x v="0"/>
    <x v="5"/>
    <x v="1"/>
    <x v="6"/>
    <s v="High Humidity"/>
    <x v="12"/>
    <n v="0.29849999999999999"/>
    <n v="8"/>
    <x v="73"/>
    <x v="153"/>
  </r>
  <r>
    <x v="728"/>
    <d v="2011-02-02T00:00:00"/>
    <x v="0"/>
    <x v="0"/>
    <x v="1"/>
    <x v="17"/>
    <x v="0"/>
    <x v="0"/>
    <n v="3"/>
    <x v="0"/>
    <x v="5"/>
    <x v="1"/>
    <x v="21"/>
    <s v="Low Humidity"/>
    <x v="45"/>
    <n v="0.52239999999999998"/>
    <n v="7"/>
    <x v="160"/>
    <x v="71"/>
  </r>
  <r>
    <x v="729"/>
    <d v="2011-02-02T00:00:00"/>
    <x v="0"/>
    <x v="0"/>
    <x v="1"/>
    <x v="18"/>
    <x v="0"/>
    <x v="0"/>
    <n v="3"/>
    <x v="0"/>
    <x v="10"/>
    <x v="1"/>
    <x v="0"/>
    <s v="Low Humidity"/>
    <x v="16"/>
    <n v="0.55220000000000002"/>
    <n v="7"/>
    <x v="161"/>
    <x v="58"/>
  </r>
  <r>
    <x v="730"/>
    <d v="2011-02-02T00:00:00"/>
    <x v="0"/>
    <x v="0"/>
    <x v="1"/>
    <x v="19"/>
    <x v="0"/>
    <x v="0"/>
    <n v="3"/>
    <x v="0"/>
    <x v="17"/>
    <x v="1"/>
    <x v="19"/>
    <s v="Low Humidity"/>
    <x v="49"/>
    <n v="0.49249999999999999"/>
    <n v="3"/>
    <x v="152"/>
    <x v="134"/>
  </r>
  <r>
    <x v="731"/>
    <d v="2011-02-02T00:00:00"/>
    <x v="0"/>
    <x v="0"/>
    <x v="1"/>
    <x v="20"/>
    <x v="0"/>
    <x v="0"/>
    <n v="3"/>
    <x v="0"/>
    <x v="0"/>
    <x v="1"/>
    <x v="13"/>
    <s v="Low Humidity"/>
    <x v="37"/>
    <n v="0.55220000000000002"/>
    <n v="4"/>
    <x v="13"/>
    <x v="28"/>
  </r>
  <r>
    <x v="732"/>
    <d v="2011-02-02T00:00:00"/>
    <x v="0"/>
    <x v="0"/>
    <x v="1"/>
    <x v="21"/>
    <x v="0"/>
    <x v="0"/>
    <n v="3"/>
    <x v="0"/>
    <x v="1"/>
    <x v="0"/>
    <x v="13"/>
    <s v="Low Humidity"/>
    <x v="19"/>
    <n v="0.32840000000000003"/>
    <n v="1"/>
    <x v="133"/>
    <x v="55"/>
  </r>
  <r>
    <x v="733"/>
    <d v="2011-02-02T00:00:00"/>
    <x v="0"/>
    <x v="0"/>
    <x v="1"/>
    <x v="22"/>
    <x v="0"/>
    <x v="0"/>
    <n v="3"/>
    <x v="0"/>
    <x v="1"/>
    <x v="0"/>
    <x v="12"/>
    <s v="Low Humidity"/>
    <x v="18"/>
    <n v="0.25369999999999998"/>
    <n v="5"/>
    <x v="96"/>
    <x v="1"/>
  </r>
  <r>
    <x v="734"/>
    <d v="2011-02-02T00:00:00"/>
    <x v="0"/>
    <x v="0"/>
    <x v="1"/>
    <x v="23"/>
    <x v="0"/>
    <x v="0"/>
    <n v="3"/>
    <x v="0"/>
    <x v="2"/>
    <x v="0"/>
    <x v="17"/>
    <s v="Low Humidity"/>
    <x v="18"/>
    <n v="0.44779999999999998"/>
    <n v="3"/>
    <x v="31"/>
    <x v="2"/>
  </r>
  <r>
    <x v="735"/>
    <d v="2011-02-03T00:00:00"/>
    <x v="0"/>
    <x v="0"/>
    <x v="1"/>
    <x v="0"/>
    <x v="0"/>
    <x v="0"/>
    <n v="4"/>
    <x v="0"/>
    <x v="2"/>
    <x v="0"/>
    <x v="17"/>
    <s v="Low Humidity"/>
    <x v="22"/>
    <n v="0.44779999999999998"/>
    <n v="1"/>
    <x v="48"/>
    <x v="47"/>
  </r>
  <r>
    <x v="736"/>
    <d v="2011-02-03T00:00:00"/>
    <x v="0"/>
    <x v="0"/>
    <x v="1"/>
    <x v="1"/>
    <x v="0"/>
    <x v="0"/>
    <n v="4"/>
    <x v="0"/>
    <x v="2"/>
    <x v="0"/>
    <x v="20"/>
    <s v="Low Humidity"/>
    <x v="18"/>
    <n v="0.52239999999999998"/>
    <n v="0"/>
    <x v="34"/>
    <x v="36"/>
  </r>
  <r>
    <x v="737"/>
    <d v="2011-02-03T00:00:00"/>
    <x v="0"/>
    <x v="0"/>
    <x v="1"/>
    <x v="2"/>
    <x v="0"/>
    <x v="0"/>
    <n v="4"/>
    <x v="0"/>
    <x v="15"/>
    <x v="0"/>
    <x v="17"/>
    <s v="Low Humidity"/>
    <x v="21"/>
    <n v="0.25369999999999998"/>
    <n v="0"/>
    <x v="6"/>
    <x v="5"/>
  </r>
  <r>
    <x v="738"/>
    <d v="2011-02-03T00:00:00"/>
    <x v="0"/>
    <x v="0"/>
    <x v="1"/>
    <x v="3"/>
    <x v="0"/>
    <x v="0"/>
    <n v="4"/>
    <x v="0"/>
    <x v="15"/>
    <x v="0"/>
    <x v="17"/>
    <s v="Low Humidity"/>
    <x v="21"/>
    <n v="0.25369999999999998"/>
    <n v="0"/>
    <x v="4"/>
    <x v="4"/>
  </r>
  <r>
    <x v="739"/>
    <d v="2011-02-03T00:00:00"/>
    <x v="0"/>
    <x v="0"/>
    <x v="1"/>
    <x v="5"/>
    <x v="0"/>
    <x v="0"/>
    <n v="4"/>
    <x v="0"/>
    <x v="13"/>
    <x v="0"/>
    <x v="14"/>
    <s v="Low Humidity"/>
    <x v="20"/>
    <n v="0.29849999999999999"/>
    <n v="0"/>
    <x v="6"/>
    <x v="5"/>
  </r>
  <r>
    <x v="740"/>
    <d v="2011-02-03T00:00:00"/>
    <x v="0"/>
    <x v="0"/>
    <x v="1"/>
    <x v="6"/>
    <x v="0"/>
    <x v="0"/>
    <n v="4"/>
    <x v="0"/>
    <x v="13"/>
    <x v="0"/>
    <x v="14"/>
    <s v="Low Humidity"/>
    <x v="21"/>
    <n v="0.35820000000000002"/>
    <n v="0"/>
    <x v="87"/>
    <x v="21"/>
  </r>
  <r>
    <x v="741"/>
    <d v="2011-02-03T00:00:00"/>
    <x v="0"/>
    <x v="0"/>
    <x v="1"/>
    <x v="7"/>
    <x v="0"/>
    <x v="0"/>
    <n v="4"/>
    <x v="0"/>
    <x v="14"/>
    <x v="0"/>
    <x v="16"/>
    <s v="Low Humidity"/>
    <x v="20"/>
    <n v="0.32840000000000003"/>
    <n v="1"/>
    <x v="132"/>
    <x v="90"/>
  </r>
  <r>
    <x v="742"/>
    <d v="2011-02-03T00:00:00"/>
    <x v="0"/>
    <x v="0"/>
    <x v="1"/>
    <x v="8"/>
    <x v="0"/>
    <x v="0"/>
    <n v="4"/>
    <x v="0"/>
    <x v="14"/>
    <x v="0"/>
    <x v="16"/>
    <s v="Low Humidity"/>
    <x v="20"/>
    <n v="0.35820000000000002"/>
    <n v="4"/>
    <x v="103"/>
    <x v="104"/>
  </r>
  <r>
    <x v="743"/>
    <d v="2011-02-03T00:00:00"/>
    <x v="0"/>
    <x v="0"/>
    <x v="1"/>
    <x v="9"/>
    <x v="0"/>
    <x v="0"/>
    <n v="4"/>
    <x v="0"/>
    <x v="13"/>
    <x v="0"/>
    <x v="14"/>
    <s v="Low Humidity"/>
    <x v="19"/>
    <n v="0.29849999999999999"/>
    <n v="6"/>
    <x v="69"/>
    <x v="140"/>
  </r>
  <r>
    <x v="744"/>
    <d v="2011-02-03T00:00:00"/>
    <x v="0"/>
    <x v="0"/>
    <x v="1"/>
    <x v="10"/>
    <x v="0"/>
    <x v="0"/>
    <n v="4"/>
    <x v="0"/>
    <x v="15"/>
    <x v="0"/>
    <x v="20"/>
    <s v="Low Humidity"/>
    <x v="21"/>
    <n v="0.32840000000000003"/>
    <n v="2"/>
    <x v="54"/>
    <x v="46"/>
  </r>
  <r>
    <x v="745"/>
    <d v="2011-02-03T00:00:00"/>
    <x v="0"/>
    <x v="0"/>
    <x v="1"/>
    <x v="11"/>
    <x v="0"/>
    <x v="0"/>
    <n v="4"/>
    <x v="0"/>
    <x v="15"/>
    <x v="0"/>
    <x v="14"/>
    <s v="Low Humidity"/>
    <x v="21"/>
    <n v="0.44779999999999998"/>
    <n v="9"/>
    <x v="11"/>
    <x v="37"/>
  </r>
  <r>
    <x v="746"/>
    <d v="2011-02-03T00:00:00"/>
    <x v="0"/>
    <x v="0"/>
    <x v="1"/>
    <x v="12"/>
    <x v="0"/>
    <x v="0"/>
    <n v="4"/>
    <x v="0"/>
    <x v="2"/>
    <x v="0"/>
    <x v="18"/>
    <s v="Low Humidity"/>
    <x v="22"/>
    <n v="0.35820000000000002"/>
    <n v="2"/>
    <x v="28"/>
    <x v="83"/>
  </r>
  <r>
    <x v="747"/>
    <d v="2011-02-03T00:00:00"/>
    <x v="0"/>
    <x v="0"/>
    <x v="1"/>
    <x v="13"/>
    <x v="0"/>
    <x v="0"/>
    <n v="4"/>
    <x v="0"/>
    <x v="2"/>
    <x v="0"/>
    <x v="17"/>
    <s v="Low Humidity"/>
    <x v="22"/>
    <n v="0.41789999999999999"/>
    <n v="4"/>
    <x v="12"/>
    <x v="41"/>
  </r>
  <r>
    <x v="748"/>
    <d v="2011-02-03T00:00:00"/>
    <x v="0"/>
    <x v="0"/>
    <x v="1"/>
    <x v="14"/>
    <x v="0"/>
    <x v="0"/>
    <n v="4"/>
    <x v="0"/>
    <x v="1"/>
    <x v="0"/>
    <x v="13"/>
    <s v="Low Humidity"/>
    <x v="38"/>
    <n v="0.3881"/>
    <n v="4"/>
    <x v="30"/>
    <x v="105"/>
  </r>
  <r>
    <x v="749"/>
    <d v="2011-02-03T00:00:00"/>
    <x v="0"/>
    <x v="0"/>
    <x v="1"/>
    <x v="15"/>
    <x v="0"/>
    <x v="0"/>
    <n v="4"/>
    <x v="0"/>
    <x v="1"/>
    <x v="0"/>
    <x v="13"/>
    <s v="Low Humidity"/>
    <x v="38"/>
    <n v="0.32840000000000003"/>
    <n v="4"/>
    <x v="90"/>
    <x v="122"/>
  </r>
  <r>
    <x v="750"/>
    <d v="2011-02-03T00:00:00"/>
    <x v="0"/>
    <x v="0"/>
    <x v="1"/>
    <x v="16"/>
    <x v="0"/>
    <x v="0"/>
    <n v="4"/>
    <x v="0"/>
    <x v="1"/>
    <x v="0"/>
    <x v="12"/>
    <s v="Low Humidity"/>
    <x v="38"/>
    <n v="0.25369999999999998"/>
    <n v="5"/>
    <x v="26"/>
    <x v="53"/>
  </r>
  <r>
    <x v="751"/>
    <d v="2011-02-03T00:00:00"/>
    <x v="0"/>
    <x v="0"/>
    <x v="1"/>
    <x v="17"/>
    <x v="0"/>
    <x v="0"/>
    <n v="4"/>
    <x v="0"/>
    <x v="2"/>
    <x v="0"/>
    <x v="13"/>
    <s v="Low Humidity"/>
    <x v="22"/>
    <n v="0.19400000000000001"/>
    <n v="5"/>
    <x v="162"/>
    <x v="172"/>
  </r>
  <r>
    <x v="752"/>
    <d v="2011-02-03T00:00:00"/>
    <x v="0"/>
    <x v="0"/>
    <x v="1"/>
    <x v="18"/>
    <x v="0"/>
    <x v="0"/>
    <n v="4"/>
    <x v="0"/>
    <x v="2"/>
    <x v="0"/>
    <x v="12"/>
    <s v="Low Humidity"/>
    <x v="22"/>
    <n v="0.16420000000000001"/>
    <n v="2"/>
    <x v="142"/>
    <x v="173"/>
  </r>
  <r>
    <x v="753"/>
    <d v="2011-02-03T00:00:00"/>
    <x v="0"/>
    <x v="0"/>
    <x v="1"/>
    <x v="19"/>
    <x v="0"/>
    <x v="0"/>
    <n v="4"/>
    <x v="0"/>
    <x v="2"/>
    <x v="0"/>
    <x v="2"/>
    <s v="Low Humidity"/>
    <x v="22"/>
    <n v="0"/>
    <n v="4"/>
    <x v="50"/>
    <x v="152"/>
  </r>
  <r>
    <x v="754"/>
    <d v="2011-02-03T00:00:00"/>
    <x v="0"/>
    <x v="0"/>
    <x v="1"/>
    <x v="20"/>
    <x v="0"/>
    <x v="0"/>
    <n v="4"/>
    <x v="0"/>
    <x v="2"/>
    <x v="0"/>
    <x v="11"/>
    <s v="Low Humidity"/>
    <x v="19"/>
    <n v="8.9599999999999999E-2"/>
    <n v="1"/>
    <x v="123"/>
    <x v="142"/>
  </r>
  <r>
    <x v="755"/>
    <d v="2011-02-03T00:00:00"/>
    <x v="0"/>
    <x v="0"/>
    <x v="1"/>
    <x v="21"/>
    <x v="0"/>
    <x v="0"/>
    <n v="4"/>
    <x v="0"/>
    <x v="15"/>
    <x v="0"/>
    <x v="12"/>
    <s v="Low Humidity"/>
    <x v="28"/>
    <n v="0.1045"/>
    <n v="1"/>
    <x v="42"/>
    <x v="60"/>
  </r>
  <r>
    <x v="756"/>
    <d v="2011-02-03T00:00:00"/>
    <x v="0"/>
    <x v="0"/>
    <x v="1"/>
    <x v="22"/>
    <x v="0"/>
    <x v="0"/>
    <n v="4"/>
    <x v="0"/>
    <x v="15"/>
    <x v="0"/>
    <x v="12"/>
    <s v="Low Humidity"/>
    <x v="33"/>
    <n v="8.9599999999999999E-2"/>
    <n v="2"/>
    <x v="87"/>
    <x v="102"/>
  </r>
  <r>
    <x v="757"/>
    <d v="2011-02-03T00:00:00"/>
    <x v="0"/>
    <x v="0"/>
    <x v="1"/>
    <x v="23"/>
    <x v="0"/>
    <x v="0"/>
    <n v="4"/>
    <x v="0"/>
    <x v="2"/>
    <x v="0"/>
    <x v="11"/>
    <s v="Low Humidity"/>
    <x v="19"/>
    <n v="0.1045"/>
    <n v="4"/>
    <x v="60"/>
    <x v="103"/>
  </r>
  <r>
    <x v="758"/>
    <d v="2011-02-04T00:00:00"/>
    <x v="0"/>
    <x v="0"/>
    <x v="1"/>
    <x v="0"/>
    <x v="0"/>
    <x v="0"/>
    <n v="5"/>
    <x v="1"/>
    <x v="2"/>
    <x v="0"/>
    <x v="2"/>
    <s v="Low Humidity"/>
    <x v="18"/>
    <n v="0"/>
    <n v="3"/>
    <x v="3"/>
    <x v="3"/>
  </r>
  <r>
    <x v="759"/>
    <d v="2011-02-04T00:00:00"/>
    <x v="0"/>
    <x v="0"/>
    <x v="1"/>
    <x v="1"/>
    <x v="0"/>
    <x v="0"/>
    <n v="5"/>
    <x v="1"/>
    <x v="13"/>
    <x v="0"/>
    <x v="11"/>
    <s v="Low Humidity"/>
    <x v="29"/>
    <n v="0"/>
    <n v="0"/>
    <x v="7"/>
    <x v="85"/>
  </r>
  <r>
    <x v="760"/>
    <d v="2011-02-04T00:00:00"/>
    <x v="0"/>
    <x v="0"/>
    <x v="1"/>
    <x v="2"/>
    <x v="0"/>
    <x v="0"/>
    <n v="5"/>
    <x v="1"/>
    <x v="14"/>
    <x v="0"/>
    <x v="17"/>
    <s v="High Humidity"/>
    <x v="30"/>
    <n v="0.1045"/>
    <n v="0"/>
    <x v="4"/>
    <x v="4"/>
  </r>
  <r>
    <x v="761"/>
    <d v="2011-02-04T00:00:00"/>
    <x v="0"/>
    <x v="0"/>
    <x v="1"/>
    <x v="3"/>
    <x v="0"/>
    <x v="0"/>
    <n v="5"/>
    <x v="1"/>
    <x v="14"/>
    <x v="0"/>
    <x v="17"/>
    <s v="High Humidity"/>
    <x v="30"/>
    <n v="0.1045"/>
    <n v="0"/>
    <x v="4"/>
    <x v="4"/>
  </r>
  <r>
    <x v="762"/>
    <d v="2011-02-04T00:00:00"/>
    <x v="0"/>
    <x v="0"/>
    <x v="1"/>
    <x v="5"/>
    <x v="0"/>
    <x v="0"/>
    <n v="5"/>
    <x v="1"/>
    <x v="14"/>
    <x v="0"/>
    <x v="20"/>
    <s v="High Humidity"/>
    <x v="30"/>
    <n v="0.1343"/>
    <n v="0"/>
    <x v="7"/>
    <x v="85"/>
  </r>
  <r>
    <x v="763"/>
    <d v="2011-02-04T00:00:00"/>
    <x v="0"/>
    <x v="0"/>
    <x v="1"/>
    <x v="6"/>
    <x v="0"/>
    <x v="0"/>
    <n v="5"/>
    <x v="1"/>
    <x v="13"/>
    <x v="0"/>
    <x v="11"/>
    <s v="Low Humidity"/>
    <x v="28"/>
    <n v="0"/>
    <n v="2"/>
    <x v="16"/>
    <x v="20"/>
  </r>
  <r>
    <x v="764"/>
    <d v="2011-02-04T00:00:00"/>
    <x v="0"/>
    <x v="0"/>
    <x v="1"/>
    <x v="7"/>
    <x v="0"/>
    <x v="0"/>
    <n v="5"/>
    <x v="0"/>
    <x v="14"/>
    <x v="0"/>
    <x v="12"/>
    <s v="Low Humidity"/>
    <x v="29"/>
    <n v="0"/>
    <n v="0"/>
    <x v="61"/>
    <x v="90"/>
  </r>
  <r>
    <x v="765"/>
    <d v="2011-02-04T00:00:00"/>
    <x v="0"/>
    <x v="0"/>
    <x v="1"/>
    <x v="8"/>
    <x v="0"/>
    <x v="0"/>
    <n v="5"/>
    <x v="0"/>
    <x v="14"/>
    <x v="0"/>
    <x v="20"/>
    <s v="High Humidity"/>
    <x v="32"/>
    <n v="0.1343"/>
    <n v="3"/>
    <x v="163"/>
    <x v="174"/>
  </r>
  <r>
    <x v="766"/>
    <d v="2011-02-04T00:00:00"/>
    <x v="0"/>
    <x v="0"/>
    <x v="1"/>
    <x v="9"/>
    <x v="0"/>
    <x v="0"/>
    <n v="5"/>
    <x v="1"/>
    <x v="13"/>
    <x v="0"/>
    <x v="18"/>
    <s v="High Humidity"/>
    <x v="1"/>
    <n v="0.1343"/>
    <n v="3"/>
    <x v="125"/>
    <x v="175"/>
  </r>
  <r>
    <x v="767"/>
    <d v="2011-02-04T00:00:00"/>
    <x v="0"/>
    <x v="0"/>
    <x v="1"/>
    <x v="10"/>
    <x v="0"/>
    <x v="0"/>
    <n v="5"/>
    <x v="1"/>
    <x v="2"/>
    <x v="0"/>
    <x v="12"/>
    <s v="Low Humidity"/>
    <x v="33"/>
    <n v="0.1343"/>
    <n v="5"/>
    <x v="24"/>
    <x v="41"/>
  </r>
  <r>
    <x v="768"/>
    <d v="2011-02-04T00:00:00"/>
    <x v="0"/>
    <x v="0"/>
    <x v="1"/>
    <x v="11"/>
    <x v="0"/>
    <x v="0"/>
    <n v="5"/>
    <x v="0"/>
    <x v="1"/>
    <x v="0"/>
    <x v="11"/>
    <s v="Low Humidity"/>
    <x v="33"/>
    <n v="0.16420000000000001"/>
    <n v="3"/>
    <x v="124"/>
    <x v="37"/>
  </r>
  <r>
    <x v="769"/>
    <d v="2011-02-04T00:00:00"/>
    <x v="0"/>
    <x v="0"/>
    <x v="1"/>
    <x v="12"/>
    <x v="0"/>
    <x v="0"/>
    <n v="5"/>
    <x v="1"/>
    <x v="0"/>
    <x v="1"/>
    <x v="19"/>
    <s v="Low Humidity"/>
    <x v="37"/>
    <n v="0.16420000000000001"/>
    <n v="8"/>
    <x v="78"/>
    <x v="80"/>
  </r>
  <r>
    <x v="770"/>
    <d v="2011-02-04T00:00:00"/>
    <x v="0"/>
    <x v="0"/>
    <x v="1"/>
    <x v="13"/>
    <x v="0"/>
    <x v="0"/>
    <n v="5"/>
    <x v="1"/>
    <x v="12"/>
    <x v="1"/>
    <x v="2"/>
    <s v="Low Humidity"/>
    <x v="20"/>
    <n v="0.22389999999999999"/>
    <n v="9"/>
    <x v="26"/>
    <x v="100"/>
  </r>
  <r>
    <x v="771"/>
    <d v="2011-02-04T00:00:00"/>
    <x v="0"/>
    <x v="0"/>
    <x v="1"/>
    <x v="14"/>
    <x v="0"/>
    <x v="0"/>
    <n v="5"/>
    <x v="1"/>
    <x v="17"/>
    <x v="1"/>
    <x v="1"/>
    <s v="Low Humidity"/>
    <x v="49"/>
    <n v="0.16420000000000001"/>
    <n v="15"/>
    <x v="83"/>
    <x v="134"/>
  </r>
  <r>
    <x v="772"/>
    <d v="2011-02-04T00:00:00"/>
    <x v="0"/>
    <x v="0"/>
    <x v="1"/>
    <x v="15"/>
    <x v="0"/>
    <x v="0"/>
    <n v="5"/>
    <x v="1"/>
    <x v="17"/>
    <x v="1"/>
    <x v="1"/>
    <s v="Low Humidity"/>
    <x v="37"/>
    <n v="0.25369999999999998"/>
    <n v="9"/>
    <x v="38"/>
    <x v="127"/>
  </r>
  <r>
    <x v="773"/>
    <d v="2011-02-04T00:00:00"/>
    <x v="0"/>
    <x v="0"/>
    <x v="1"/>
    <x v="16"/>
    <x v="0"/>
    <x v="0"/>
    <n v="5"/>
    <x v="1"/>
    <x v="11"/>
    <x v="1"/>
    <x v="0"/>
    <s v="Low Humidity"/>
    <x v="16"/>
    <n v="0.22389999999999999"/>
    <n v="8"/>
    <x v="164"/>
    <x v="111"/>
  </r>
  <r>
    <x v="774"/>
    <d v="2011-02-04T00:00:00"/>
    <x v="0"/>
    <x v="0"/>
    <x v="1"/>
    <x v="17"/>
    <x v="0"/>
    <x v="0"/>
    <n v="5"/>
    <x v="1"/>
    <x v="12"/>
    <x v="1"/>
    <x v="1"/>
    <s v="Low Humidity"/>
    <x v="34"/>
    <n v="0.1343"/>
    <n v="10"/>
    <x v="165"/>
    <x v="176"/>
  </r>
  <r>
    <x v="775"/>
    <d v="2011-02-04T00:00:00"/>
    <x v="0"/>
    <x v="0"/>
    <x v="1"/>
    <x v="18"/>
    <x v="0"/>
    <x v="0"/>
    <n v="5"/>
    <x v="1"/>
    <x v="0"/>
    <x v="1"/>
    <x v="2"/>
    <s v="High Humidity"/>
    <x v="54"/>
    <n v="0.1045"/>
    <n v="3"/>
    <x v="166"/>
    <x v="107"/>
  </r>
  <r>
    <x v="776"/>
    <d v="2011-02-04T00:00:00"/>
    <x v="0"/>
    <x v="0"/>
    <x v="1"/>
    <x v="19"/>
    <x v="0"/>
    <x v="0"/>
    <n v="5"/>
    <x v="1"/>
    <x v="0"/>
    <x v="1"/>
    <x v="19"/>
    <s v="High Humidity"/>
    <x v="55"/>
    <n v="0.1343"/>
    <n v="1"/>
    <x v="46"/>
    <x v="153"/>
  </r>
  <r>
    <x v="777"/>
    <d v="2011-02-04T00:00:00"/>
    <x v="0"/>
    <x v="0"/>
    <x v="1"/>
    <x v="20"/>
    <x v="0"/>
    <x v="0"/>
    <n v="5"/>
    <x v="1"/>
    <x v="0"/>
    <x v="1"/>
    <x v="19"/>
    <s v="High Humidity"/>
    <x v="55"/>
    <n v="0.16420000000000001"/>
    <n v="2"/>
    <x v="94"/>
    <x v="68"/>
  </r>
  <r>
    <x v="778"/>
    <d v="2011-02-04T00:00:00"/>
    <x v="0"/>
    <x v="0"/>
    <x v="1"/>
    <x v="21"/>
    <x v="0"/>
    <x v="0"/>
    <n v="5"/>
    <x v="1"/>
    <x v="0"/>
    <x v="1"/>
    <x v="19"/>
    <s v="High Humidity"/>
    <x v="56"/>
    <n v="0.16420000000000001"/>
    <n v="2"/>
    <x v="40"/>
    <x v="74"/>
  </r>
  <r>
    <x v="779"/>
    <d v="2011-02-04T00:00:00"/>
    <x v="0"/>
    <x v="0"/>
    <x v="1"/>
    <x v="22"/>
    <x v="0"/>
    <x v="0"/>
    <n v="5"/>
    <x v="1"/>
    <x v="0"/>
    <x v="1"/>
    <x v="19"/>
    <s v="High Humidity"/>
    <x v="55"/>
    <n v="0.16420000000000001"/>
    <n v="1"/>
    <x v="108"/>
    <x v="66"/>
  </r>
  <r>
    <x v="780"/>
    <d v="2011-02-04T00:00:00"/>
    <x v="0"/>
    <x v="0"/>
    <x v="1"/>
    <x v="23"/>
    <x v="0"/>
    <x v="0"/>
    <n v="5"/>
    <x v="1"/>
    <x v="0"/>
    <x v="1"/>
    <x v="19"/>
    <s v="High Humidity"/>
    <x v="56"/>
    <n v="0.1343"/>
    <n v="1"/>
    <x v="10"/>
    <x v="35"/>
  </r>
  <r>
    <x v="781"/>
    <d v="2011-02-05T00:00:00"/>
    <x v="0"/>
    <x v="0"/>
    <x v="1"/>
    <x v="0"/>
    <x v="0"/>
    <x v="0"/>
    <n v="6"/>
    <x v="1"/>
    <x v="0"/>
    <x v="1"/>
    <x v="19"/>
    <s v="High Humidity"/>
    <x v="56"/>
    <n v="0.16420000000000001"/>
    <n v="3"/>
    <x v="49"/>
    <x v="21"/>
  </r>
  <r>
    <x v="782"/>
    <d v="2011-02-05T00:00:00"/>
    <x v="0"/>
    <x v="0"/>
    <x v="1"/>
    <x v="1"/>
    <x v="0"/>
    <x v="0"/>
    <n v="6"/>
    <x v="1"/>
    <x v="0"/>
    <x v="1"/>
    <x v="19"/>
    <s v="High Humidity"/>
    <x v="55"/>
    <n v="0.16420000000000001"/>
    <n v="1"/>
    <x v="19"/>
    <x v="109"/>
  </r>
  <r>
    <x v="783"/>
    <d v="2011-02-05T00:00:00"/>
    <x v="0"/>
    <x v="0"/>
    <x v="1"/>
    <x v="2"/>
    <x v="0"/>
    <x v="0"/>
    <n v="6"/>
    <x v="1"/>
    <x v="0"/>
    <x v="1"/>
    <x v="19"/>
    <s v="High Humidity"/>
    <x v="2"/>
    <n v="0.16420000000000001"/>
    <n v="5"/>
    <x v="98"/>
    <x v="22"/>
  </r>
  <r>
    <x v="784"/>
    <d v="2011-02-05T00:00:00"/>
    <x v="0"/>
    <x v="0"/>
    <x v="1"/>
    <x v="3"/>
    <x v="0"/>
    <x v="0"/>
    <n v="6"/>
    <x v="1"/>
    <x v="0"/>
    <x v="1"/>
    <x v="19"/>
    <s v="High Humidity"/>
    <x v="2"/>
    <n v="0.16420000000000001"/>
    <n v="1"/>
    <x v="3"/>
    <x v="62"/>
  </r>
  <r>
    <x v="785"/>
    <d v="2011-02-05T00:00:00"/>
    <x v="0"/>
    <x v="0"/>
    <x v="1"/>
    <x v="4"/>
    <x v="0"/>
    <x v="0"/>
    <n v="6"/>
    <x v="2"/>
    <x v="1"/>
    <x v="0"/>
    <x v="11"/>
    <s v="High Humidity"/>
    <x v="43"/>
    <n v="0.1343"/>
    <n v="0"/>
    <x v="21"/>
    <x v="7"/>
  </r>
  <r>
    <x v="786"/>
    <d v="2011-02-05T00:00:00"/>
    <x v="0"/>
    <x v="0"/>
    <x v="1"/>
    <x v="5"/>
    <x v="0"/>
    <x v="0"/>
    <n v="6"/>
    <x v="2"/>
    <x v="2"/>
    <x v="0"/>
    <x v="11"/>
    <s v="High Humidity"/>
    <x v="11"/>
    <n v="8.9599999999999999E-2"/>
    <n v="0"/>
    <x v="33"/>
    <x v="23"/>
  </r>
  <r>
    <x v="787"/>
    <d v="2011-02-05T00:00:00"/>
    <x v="0"/>
    <x v="0"/>
    <x v="1"/>
    <x v="6"/>
    <x v="0"/>
    <x v="0"/>
    <n v="6"/>
    <x v="2"/>
    <x v="2"/>
    <x v="0"/>
    <x v="2"/>
    <s v="High Humidity"/>
    <x v="11"/>
    <n v="0"/>
    <n v="0"/>
    <x v="22"/>
    <x v="48"/>
  </r>
  <r>
    <x v="788"/>
    <d v="2011-02-05T00:00:00"/>
    <x v="0"/>
    <x v="0"/>
    <x v="1"/>
    <x v="7"/>
    <x v="0"/>
    <x v="0"/>
    <n v="6"/>
    <x v="2"/>
    <x v="1"/>
    <x v="0"/>
    <x v="2"/>
    <s v="High Humidity"/>
    <x v="43"/>
    <n v="8.9599999999999999E-2"/>
    <n v="0"/>
    <x v="22"/>
    <x v="48"/>
  </r>
  <r>
    <x v="789"/>
    <d v="2011-02-05T00:00:00"/>
    <x v="0"/>
    <x v="0"/>
    <x v="1"/>
    <x v="8"/>
    <x v="0"/>
    <x v="0"/>
    <n v="6"/>
    <x v="2"/>
    <x v="2"/>
    <x v="0"/>
    <x v="11"/>
    <s v="High Humidity"/>
    <x v="11"/>
    <n v="8.9599999999999999E-2"/>
    <n v="0"/>
    <x v="3"/>
    <x v="98"/>
  </r>
  <r>
    <x v="790"/>
    <d v="2011-02-05T00:00:00"/>
    <x v="0"/>
    <x v="0"/>
    <x v="1"/>
    <x v="9"/>
    <x v="0"/>
    <x v="0"/>
    <n v="6"/>
    <x v="2"/>
    <x v="2"/>
    <x v="0"/>
    <x v="11"/>
    <s v="High Humidity"/>
    <x v="11"/>
    <n v="8.9599999999999999E-2"/>
    <n v="3"/>
    <x v="19"/>
    <x v="25"/>
  </r>
  <r>
    <x v="791"/>
    <d v="2011-02-05T00:00:00"/>
    <x v="0"/>
    <x v="0"/>
    <x v="1"/>
    <x v="10"/>
    <x v="0"/>
    <x v="0"/>
    <n v="6"/>
    <x v="2"/>
    <x v="2"/>
    <x v="0"/>
    <x v="12"/>
    <s v="High Humidity"/>
    <x v="11"/>
    <n v="0.1343"/>
    <n v="3"/>
    <x v="17"/>
    <x v="19"/>
  </r>
  <r>
    <x v="792"/>
    <d v="2011-02-05T00:00:00"/>
    <x v="0"/>
    <x v="0"/>
    <x v="1"/>
    <x v="11"/>
    <x v="0"/>
    <x v="0"/>
    <n v="6"/>
    <x v="2"/>
    <x v="1"/>
    <x v="0"/>
    <x v="11"/>
    <s v="High Humidity"/>
    <x v="11"/>
    <n v="0.1343"/>
    <n v="1"/>
    <x v="24"/>
    <x v="105"/>
  </r>
  <r>
    <x v="793"/>
    <d v="2011-02-05T00:00:00"/>
    <x v="0"/>
    <x v="0"/>
    <x v="1"/>
    <x v="12"/>
    <x v="0"/>
    <x v="0"/>
    <n v="6"/>
    <x v="2"/>
    <x v="1"/>
    <x v="0"/>
    <x v="11"/>
    <s v="High Humidity"/>
    <x v="11"/>
    <n v="0.16420000000000001"/>
    <n v="10"/>
    <x v="76"/>
    <x v="46"/>
  </r>
  <r>
    <x v="794"/>
    <d v="2011-02-05T00:00:00"/>
    <x v="0"/>
    <x v="0"/>
    <x v="1"/>
    <x v="13"/>
    <x v="0"/>
    <x v="0"/>
    <n v="6"/>
    <x v="2"/>
    <x v="1"/>
    <x v="0"/>
    <x v="11"/>
    <s v="High Humidity"/>
    <x v="11"/>
    <n v="0.16420000000000001"/>
    <n v="10"/>
    <x v="133"/>
    <x v="44"/>
  </r>
  <r>
    <x v="795"/>
    <d v="2011-02-05T00:00:00"/>
    <x v="0"/>
    <x v="0"/>
    <x v="1"/>
    <x v="14"/>
    <x v="0"/>
    <x v="0"/>
    <n v="6"/>
    <x v="2"/>
    <x v="1"/>
    <x v="0"/>
    <x v="1"/>
    <s v="High Humidity"/>
    <x v="11"/>
    <n v="0"/>
    <n v="5"/>
    <x v="54"/>
    <x v="97"/>
  </r>
  <r>
    <x v="796"/>
    <d v="2011-02-05T00:00:00"/>
    <x v="0"/>
    <x v="0"/>
    <x v="1"/>
    <x v="15"/>
    <x v="0"/>
    <x v="0"/>
    <n v="6"/>
    <x v="2"/>
    <x v="1"/>
    <x v="0"/>
    <x v="1"/>
    <s v="High Humidity"/>
    <x v="11"/>
    <n v="0"/>
    <n v="11"/>
    <x v="47"/>
    <x v="122"/>
  </r>
  <r>
    <x v="797"/>
    <d v="2011-02-05T00:00:00"/>
    <x v="0"/>
    <x v="0"/>
    <x v="1"/>
    <x v="16"/>
    <x v="0"/>
    <x v="0"/>
    <n v="6"/>
    <x v="2"/>
    <x v="1"/>
    <x v="0"/>
    <x v="11"/>
    <s v="High Humidity"/>
    <x v="11"/>
    <n v="0.1343"/>
    <n v="8"/>
    <x v="36"/>
    <x v="68"/>
  </r>
  <r>
    <x v="798"/>
    <d v="2011-02-05T00:00:00"/>
    <x v="0"/>
    <x v="0"/>
    <x v="1"/>
    <x v="17"/>
    <x v="0"/>
    <x v="0"/>
    <n v="6"/>
    <x v="1"/>
    <x v="0"/>
    <x v="1"/>
    <x v="12"/>
    <s v="High Humidity"/>
    <x v="11"/>
    <n v="0.28360000000000002"/>
    <n v="14"/>
    <x v="27"/>
    <x v="53"/>
  </r>
  <r>
    <x v="799"/>
    <d v="2011-02-05T00:00:00"/>
    <x v="0"/>
    <x v="0"/>
    <x v="1"/>
    <x v="18"/>
    <x v="0"/>
    <x v="0"/>
    <n v="6"/>
    <x v="1"/>
    <x v="17"/>
    <x v="1"/>
    <x v="19"/>
    <s v="High Humidity"/>
    <x v="43"/>
    <n v="0.44779999999999998"/>
    <n v="2"/>
    <x v="38"/>
    <x v="56"/>
  </r>
  <r>
    <x v="800"/>
    <d v="2011-02-05T00:00:00"/>
    <x v="0"/>
    <x v="0"/>
    <x v="1"/>
    <x v="19"/>
    <x v="0"/>
    <x v="0"/>
    <n v="6"/>
    <x v="1"/>
    <x v="17"/>
    <x v="1"/>
    <x v="19"/>
    <s v="High Humidity"/>
    <x v="43"/>
    <n v="0.44779999999999998"/>
    <n v="6"/>
    <x v="78"/>
    <x v="11"/>
  </r>
  <r>
    <x v="801"/>
    <d v="2011-02-05T00:00:00"/>
    <x v="0"/>
    <x v="0"/>
    <x v="1"/>
    <x v="20"/>
    <x v="0"/>
    <x v="0"/>
    <n v="6"/>
    <x v="0"/>
    <x v="11"/>
    <x v="1"/>
    <x v="0"/>
    <s v="High Humidity"/>
    <x v="9"/>
    <n v="0.25369999999999998"/>
    <n v="5"/>
    <x v="27"/>
    <x v="83"/>
  </r>
  <r>
    <x v="802"/>
    <d v="2011-02-05T00:00:00"/>
    <x v="0"/>
    <x v="0"/>
    <x v="1"/>
    <x v="21"/>
    <x v="0"/>
    <x v="0"/>
    <n v="6"/>
    <x v="0"/>
    <x v="12"/>
    <x v="1"/>
    <x v="2"/>
    <s v="High Humidity"/>
    <x v="11"/>
    <n v="0.19400000000000001"/>
    <n v="3"/>
    <x v="42"/>
    <x v="10"/>
  </r>
  <r>
    <x v="803"/>
    <d v="2011-02-05T00:00:00"/>
    <x v="0"/>
    <x v="0"/>
    <x v="1"/>
    <x v="22"/>
    <x v="0"/>
    <x v="0"/>
    <n v="6"/>
    <x v="0"/>
    <x v="12"/>
    <x v="1"/>
    <x v="1"/>
    <s v="High Humidity"/>
    <x v="43"/>
    <n v="0.1343"/>
    <n v="2"/>
    <x v="30"/>
    <x v="79"/>
  </r>
  <r>
    <x v="804"/>
    <d v="2011-02-05T00:00:00"/>
    <x v="0"/>
    <x v="0"/>
    <x v="1"/>
    <x v="23"/>
    <x v="0"/>
    <x v="0"/>
    <n v="6"/>
    <x v="0"/>
    <x v="12"/>
    <x v="1"/>
    <x v="2"/>
    <s v="High Humidity"/>
    <x v="43"/>
    <n v="0.22389999999999999"/>
    <n v="7"/>
    <x v="15"/>
    <x v="29"/>
  </r>
  <r>
    <x v="805"/>
    <d v="2011-02-06T00:00:00"/>
    <x v="0"/>
    <x v="0"/>
    <x v="1"/>
    <x v="0"/>
    <x v="0"/>
    <x v="0"/>
    <n v="0"/>
    <x v="0"/>
    <x v="12"/>
    <x v="1"/>
    <x v="2"/>
    <s v="High Humidity"/>
    <x v="56"/>
    <n v="0.19400000000000001"/>
    <n v="2"/>
    <x v="53"/>
    <x v="21"/>
  </r>
  <r>
    <x v="806"/>
    <d v="2011-02-06T00:00:00"/>
    <x v="0"/>
    <x v="0"/>
    <x v="1"/>
    <x v="1"/>
    <x v="0"/>
    <x v="0"/>
    <n v="0"/>
    <x v="0"/>
    <x v="12"/>
    <x v="1"/>
    <x v="11"/>
    <s v="High Humidity"/>
    <x v="55"/>
    <n v="0.41789999999999999"/>
    <n v="4"/>
    <x v="71"/>
    <x v="40"/>
  </r>
  <r>
    <x v="807"/>
    <d v="2011-02-06T00:00:00"/>
    <x v="0"/>
    <x v="0"/>
    <x v="1"/>
    <x v="2"/>
    <x v="0"/>
    <x v="0"/>
    <n v="0"/>
    <x v="0"/>
    <x v="12"/>
    <x v="1"/>
    <x v="11"/>
    <s v="High Humidity"/>
    <x v="54"/>
    <n v="0.32840000000000003"/>
    <n v="0"/>
    <x v="32"/>
    <x v="25"/>
  </r>
  <r>
    <x v="808"/>
    <d v="2011-02-06T00:00:00"/>
    <x v="0"/>
    <x v="0"/>
    <x v="1"/>
    <x v="3"/>
    <x v="0"/>
    <x v="0"/>
    <n v="0"/>
    <x v="0"/>
    <x v="12"/>
    <x v="1"/>
    <x v="0"/>
    <s v="High Humidity"/>
    <x v="54"/>
    <n v="8.9599999999999999E-2"/>
    <n v="3"/>
    <x v="3"/>
    <x v="3"/>
  </r>
  <r>
    <x v="809"/>
    <d v="2011-02-06T00:00:00"/>
    <x v="0"/>
    <x v="0"/>
    <x v="1"/>
    <x v="4"/>
    <x v="0"/>
    <x v="0"/>
    <n v="0"/>
    <x v="0"/>
    <x v="12"/>
    <x v="1"/>
    <x v="11"/>
    <s v="High Humidity"/>
    <x v="54"/>
    <n v="0.35820000000000002"/>
    <n v="0"/>
    <x v="6"/>
    <x v="5"/>
  </r>
  <r>
    <x v="810"/>
    <d v="2011-02-06T00:00:00"/>
    <x v="0"/>
    <x v="0"/>
    <x v="1"/>
    <x v="5"/>
    <x v="0"/>
    <x v="0"/>
    <n v="0"/>
    <x v="0"/>
    <x v="12"/>
    <x v="1"/>
    <x v="2"/>
    <s v="High Humidity"/>
    <x v="54"/>
    <n v="0.22389999999999999"/>
    <n v="0"/>
    <x v="4"/>
    <x v="4"/>
  </r>
  <r>
    <x v="811"/>
    <d v="2011-02-06T00:00:00"/>
    <x v="0"/>
    <x v="0"/>
    <x v="1"/>
    <x v="6"/>
    <x v="0"/>
    <x v="0"/>
    <n v="0"/>
    <x v="0"/>
    <x v="12"/>
    <x v="1"/>
    <x v="2"/>
    <s v="High Humidity"/>
    <x v="54"/>
    <n v="0.22389999999999999"/>
    <n v="0"/>
    <x v="4"/>
    <x v="4"/>
  </r>
  <r>
    <x v="812"/>
    <d v="2011-02-06T00:00:00"/>
    <x v="0"/>
    <x v="0"/>
    <x v="1"/>
    <x v="7"/>
    <x v="0"/>
    <x v="0"/>
    <n v="0"/>
    <x v="0"/>
    <x v="0"/>
    <x v="1"/>
    <x v="19"/>
    <s v="High Humidity"/>
    <x v="55"/>
    <n v="0.16420000000000001"/>
    <n v="0"/>
    <x v="21"/>
    <x v="7"/>
  </r>
  <r>
    <x v="813"/>
    <d v="2011-02-06T00:00:00"/>
    <x v="0"/>
    <x v="0"/>
    <x v="1"/>
    <x v="8"/>
    <x v="0"/>
    <x v="0"/>
    <n v="0"/>
    <x v="0"/>
    <x v="0"/>
    <x v="1"/>
    <x v="2"/>
    <s v="High Humidity"/>
    <x v="55"/>
    <n v="0.1045"/>
    <n v="2"/>
    <x v="144"/>
    <x v="84"/>
  </r>
  <r>
    <x v="814"/>
    <d v="2011-02-06T00:00:00"/>
    <x v="0"/>
    <x v="0"/>
    <x v="1"/>
    <x v="9"/>
    <x v="0"/>
    <x v="0"/>
    <n v="0"/>
    <x v="0"/>
    <x v="17"/>
    <x v="1"/>
    <x v="0"/>
    <s v="Low Humidity"/>
    <x v="34"/>
    <n v="0.1045"/>
    <n v="7"/>
    <x v="101"/>
    <x v="79"/>
  </r>
  <r>
    <x v="815"/>
    <d v="2011-02-06T00:00:00"/>
    <x v="0"/>
    <x v="0"/>
    <x v="1"/>
    <x v="10"/>
    <x v="0"/>
    <x v="0"/>
    <n v="0"/>
    <x v="0"/>
    <x v="11"/>
    <x v="1"/>
    <x v="0"/>
    <s v="Low Humidity"/>
    <x v="35"/>
    <n v="0.25369999999999998"/>
    <n v="15"/>
    <x v="64"/>
    <x v="70"/>
  </r>
  <r>
    <x v="816"/>
    <d v="2011-02-06T00:00:00"/>
    <x v="0"/>
    <x v="0"/>
    <x v="1"/>
    <x v="11"/>
    <x v="0"/>
    <x v="0"/>
    <n v="0"/>
    <x v="0"/>
    <x v="3"/>
    <x v="1"/>
    <x v="25"/>
    <s v="Low Humidity"/>
    <x v="36"/>
    <n v="0.25369999999999998"/>
    <n v="28"/>
    <x v="121"/>
    <x v="126"/>
  </r>
  <r>
    <x v="817"/>
    <d v="2011-02-06T00:00:00"/>
    <x v="0"/>
    <x v="0"/>
    <x v="1"/>
    <x v="12"/>
    <x v="0"/>
    <x v="0"/>
    <n v="0"/>
    <x v="0"/>
    <x v="10"/>
    <x v="1"/>
    <x v="6"/>
    <s v="Low Humidity"/>
    <x v="15"/>
    <n v="0"/>
    <n v="48"/>
    <x v="167"/>
    <x v="177"/>
  </r>
  <r>
    <x v="818"/>
    <d v="2011-02-06T00:00:00"/>
    <x v="0"/>
    <x v="0"/>
    <x v="1"/>
    <x v="13"/>
    <x v="0"/>
    <x v="0"/>
    <n v="0"/>
    <x v="0"/>
    <x v="10"/>
    <x v="1"/>
    <x v="30"/>
    <s v="Low Humidity"/>
    <x v="15"/>
    <n v="0"/>
    <n v="47"/>
    <x v="113"/>
    <x v="58"/>
  </r>
  <r>
    <x v="819"/>
    <d v="2011-02-06T00:00:00"/>
    <x v="0"/>
    <x v="0"/>
    <x v="1"/>
    <x v="14"/>
    <x v="0"/>
    <x v="0"/>
    <n v="0"/>
    <x v="0"/>
    <x v="10"/>
    <x v="1"/>
    <x v="4"/>
    <s v="Low Humidity"/>
    <x v="15"/>
    <n v="8.9599999999999999E-2"/>
    <n v="47"/>
    <x v="156"/>
    <x v="143"/>
  </r>
  <r>
    <x v="820"/>
    <d v="2011-02-06T00:00:00"/>
    <x v="0"/>
    <x v="0"/>
    <x v="1"/>
    <x v="15"/>
    <x v="0"/>
    <x v="0"/>
    <n v="0"/>
    <x v="0"/>
    <x v="10"/>
    <x v="1"/>
    <x v="4"/>
    <s v="Low Humidity"/>
    <x v="15"/>
    <n v="8.9599999999999999E-2"/>
    <n v="52"/>
    <x v="110"/>
    <x v="58"/>
  </r>
  <r>
    <x v="821"/>
    <d v="2011-02-06T00:00:00"/>
    <x v="0"/>
    <x v="0"/>
    <x v="1"/>
    <x v="16"/>
    <x v="0"/>
    <x v="0"/>
    <n v="0"/>
    <x v="0"/>
    <x v="10"/>
    <x v="1"/>
    <x v="4"/>
    <s v="Low Humidity"/>
    <x v="36"/>
    <n v="0.1045"/>
    <n v="42"/>
    <x v="168"/>
    <x v="45"/>
  </r>
  <r>
    <x v="822"/>
    <d v="2011-02-06T00:00:00"/>
    <x v="0"/>
    <x v="0"/>
    <x v="1"/>
    <x v="17"/>
    <x v="0"/>
    <x v="0"/>
    <n v="0"/>
    <x v="0"/>
    <x v="10"/>
    <x v="1"/>
    <x v="30"/>
    <s v="Low Humidity"/>
    <x v="15"/>
    <n v="0"/>
    <n v="24"/>
    <x v="106"/>
    <x v="178"/>
  </r>
  <r>
    <x v="823"/>
    <d v="2011-02-06T00:00:00"/>
    <x v="0"/>
    <x v="0"/>
    <x v="1"/>
    <x v="18"/>
    <x v="0"/>
    <x v="0"/>
    <n v="0"/>
    <x v="0"/>
    <x v="11"/>
    <x v="1"/>
    <x v="25"/>
    <s v="Low Humidity"/>
    <x v="34"/>
    <n v="0.16420000000000001"/>
    <n v="13"/>
    <x v="65"/>
    <x v="53"/>
  </r>
  <r>
    <x v="824"/>
    <d v="2011-02-06T00:00:00"/>
    <x v="0"/>
    <x v="0"/>
    <x v="1"/>
    <x v="19"/>
    <x v="0"/>
    <x v="0"/>
    <n v="0"/>
    <x v="0"/>
    <x v="17"/>
    <x v="1"/>
    <x v="0"/>
    <s v="High Humidity"/>
    <x v="53"/>
    <n v="0.1343"/>
    <n v="1"/>
    <x v="32"/>
    <x v="137"/>
  </r>
  <r>
    <x v="825"/>
    <d v="2011-02-06T00:00:00"/>
    <x v="0"/>
    <x v="0"/>
    <x v="1"/>
    <x v="20"/>
    <x v="0"/>
    <x v="0"/>
    <n v="0"/>
    <x v="0"/>
    <x v="17"/>
    <x v="1"/>
    <x v="0"/>
    <s v="High Humidity"/>
    <x v="53"/>
    <n v="0.1045"/>
    <n v="5"/>
    <x v="144"/>
    <x v="132"/>
  </r>
  <r>
    <x v="826"/>
    <d v="2011-02-06T00:00:00"/>
    <x v="0"/>
    <x v="0"/>
    <x v="1"/>
    <x v="21"/>
    <x v="0"/>
    <x v="0"/>
    <n v="0"/>
    <x v="0"/>
    <x v="12"/>
    <x v="1"/>
    <x v="25"/>
    <s v="High Humidity"/>
    <x v="54"/>
    <n v="0"/>
    <n v="5"/>
    <x v="97"/>
    <x v="110"/>
  </r>
  <r>
    <x v="827"/>
    <d v="2011-02-06T00:00:00"/>
    <x v="0"/>
    <x v="0"/>
    <x v="1"/>
    <x v="22"/>
    <x v="0"/>
    <x v="0"/>
    <n v="0"/>
    <x v="0"/>
    <x v="12"/>
    <x v="1"/>
    <x v="25"/>
    <s v="High Humidity"/>
    <x v="54"/>
    <n v="0"/>
    <n v="5"/>
    <x v="77"/>
    <x v="69"/>
  </r>
  <r>
    <x v="828"/>
    <d v="2011-02-06T00:00:00"/>
    <x v="0"/>
    <x v="0"/>
    <x v="1"/>
    <x v="23"/>
    <x v="0"/>
    <x v="0"/>
    <n v="0"/>
    <x v="0"/>
    <x v="0"/>
    <x v="1"/>
    <x v="0"/>
    <s v="High Humidity"/>
    <x v="55"/>
    <n v="0"/>
    <n v="4"/>
    <x v="16"/>
    <x v="33"/>
  </r>
  <r>
    <x v="829"/>
    <d v="2011-02-07T00:00:00"/>
    <x v="0"/>
    <x v="0"/>
    <x v="1"/>
    <x v="0"/>
    <x v="0"/>
    <x v="0"/>
    <n v="1"/>
    <x v="0"/>
    <x v="0"/>
    <x v="1"/>
    <x v="0"/>
    <s v="High Humidity"/>
    <x v="55"/>
    <n v="0"/>
    <n v="1"/>
    <x v="88"/>
    <x v="93"/>
  </r>
  <r>
    <x v="830"/>
    <d v="2011-02-07T00:00:00"/>
    <x v="0"/>
    <x v="0"/>
    <x v="1"/>
    <x v="1"/>
    <x v="0"/>
    <x v="0"/>
    <n v="1"/>
    <x v="0"/>
    <x v="1"/>
    <x v="0"/>
    <x v="1"/>
    <s v="High Humidity"/>
    <x v="2"/>
    <n v="0"/>
    <n v="1"/>
    <x v="22"/>
    <x v="36"/>
  </r>
  <r>
    <x v="831"/>
    <d v="2011-02-07T00:00:00"/>
    <x v="0"/>
    <x v="0"/>
    <x v="1"/>
    <x v="2"/>
    <x v="0"/>
    <x v="0"/>
    <n v="1"/>
    <x v="0"/>
    <x v="2"/>
    <x v="0"/>
    <x v="2"/>
    <s v="High Humidity"/>
    <x v="1"/>
    <n v="0"/>
    <n v="0"/>
    <x v="35"/>
    <x v="6"/>
  </r>
  <r>
    <x v="832"/>
    <d v="2011-02-07T00:00:00"/>
    <x v="0"/>
    <x v="0"/>
    <x v="1"/>
    <x v="3"/>
    <x v="0"/>
    <x v="0"/>
    <n v="1"/>
    <x v="0"/>
    <x v="2"/>
    <x v="0"/>
    <x v="2"/>
    <s v="High Humidity"/>
    <x v="3"/>
    <n v="0"/>
    <n v="0"/>
    <x v="4"/>
    <x v="4"/>
  </r>
  <r>
    <x v="833"/>
    <d v="2011-02-07T00:00:00"/>
    <x v="0"/>
    <x v="0"/>
    <x v="1"/>
    <x v="4"/>
    <x v="0"/>
    <x v="0"/>
    <n v="1"/>
    <x v="0"/>
    <x v="2"/>
    <x v="0"/>
    <x v="2"/>
    <s v="High Humidity"/>
    <x v="3"/>
    <n v="0"/>
    <n v="1"/>
    <x v="4"/>
    <x v="5"/>
  </r>
  <r>
    <x v="834"/>
    <d v="2011-02-07T00:00:00"/>
    <x v="0"/>
    <x v="0"/>
    <x v="1"/>
    <x v="5"/>
    <x v="0"/>
    <x v="0"/>
    <n v="1"/>
    <x v="0"/>
    <x v="2"/>
    <x v="0"/>
    <x v="2"/>
    <s v="High Humidity"/>
    <x v="3"/>
    <n v="0"/>
    <n v="1"/>
    <x v="33"/>
    <x v="98"/>
  </r>
  <r>
    <x v="835"/>
    <d v="2011-02-07T00:00:00"/>
    <x v="0"/>
    <x v="0"/>
    <x v="1"/>
    <x v="6"/>
    <x v="0"/>
    <x v="0"/>
    <n v="1"/>
    <x v="0"/>
    <x v="15"/>
    <x v="0"/>
    <x v="19"/>
    <s v="High Humidity"/>
    <x v="43"/>
    <n v="0"/>
    <n v="1"/>
    <x v="31"/>
    <x v="33"/>
  </r>
  <r>
    <x v="836"/>
    <d v="2011-02-07T00:00:00"/>
    <x v="0"/>
    <x v="0"/>
    <x v="1"/>
    <x v="7"/>
    <x v="0"/>
    <x v="0"/>
    <n v="1"/>
    <x v="0"/>
    <x v="15"/>
    <x v="0"/>
    <x v="19"/>
    <s v="High Humidity"/>
    <x v="3"/>
    <n v="0"/>
    <n v="6"/>
    <x v="121"/>
    <x v="76"/>
  </r>
  <r>
    <x v="837"/>
    <d v="2011-02-07T00:00:00"/>
    <x v="0"/>
    <x v="0"/>
    <x v="1"/>
    <x v="8"/>
    <x v="0"/>
    <x v="0"/>
    <n v="1"/>
    <x v="1"/>
    <x v="13"/>
    <x v="0"/>
    <x v="11"/>
    <s v="High Humidity"/>
    <x v="11"/>
    <n v="0"/>
    <n v="7"/>
    <x v="169"/>
    <x v="179"/>
  </r>
  <r>
    <x v="838"/>
    <d v="2011-02-07T00:00:00"/>
    <x v="0"/>
    <x v="0"/>
    <x v="1"/>
    <x v="9"/>
    <x v="0"/>
    <x v="0"/>
    <n v="1"/>
    <x v="0"/>
    <x v="1"/>
    <x v="0"/>
    <x v="1"/>
    <s v="High Humidity"/>
    <x v="1"/>
    <n v="0"/>
    <n v="3"/>
    <x v="168"/>
    <x v="130"/>
  </r>
  <r>
    <x v="839"/>
    <d v="2011-02-07T00:00:00"/>
    <x v="0"/>
    <x v="0"/>
    <x v="1"/>
    <x v="10"/>
    <x v="0"/>
    <x v="0"/>
    <n v="1"/>
    <x v="0"/>
    <x v="0"/>
    <x v="1"/>
    <x v="2"/>
    <s v="High Humidity"/>
    <x v="2"/>
    <n v="0.1045"/>
    <n v="6"/>
    <x v="47"/>
    <x v="97"/>
  </r>
  <r>
    <x v="840"/>
    <d v="2011-02-07T00:00:00"/>
    <x v="0"/>
    <x v="0"/>
    <x v="1"/>
    <x v="11"/>
    <x v="0"/>
    <x v="0"/>
    <n v="1"/>
    <x v="0"/>
    <x v="11"/>
    <x v="1"/>
    <x v="21"/>
    <s v="High Humidity"/>
    <x v="55"/>
    <n v="8.9599999999999999E-2"/>
    <n v="11"/>
    <x v="49"/>
    <x v="105"/>
  </r>
  <r>
    <x v="841"/>
    <d v="2011-02-07T00:00:00"/>
    <x v="0"/>
    <x v="0"/>
    <x v="1"/>
    <x v="12"/>
    <x v="0"/>
    <x v="0"/>
    <n v="1"/>
    <x v="1"/>
    <x v="3"/>
    <x v="1"/>
    <x v="4"/>
    <s v="High Humidity"/>
    <x v="51"/>
    <n v="0"/>
    <n v="7"/>
    <x v="79"/>
    <x v="180"/>
  </r>
  <r>
    <x v="842"/>
    <d v="2011-02-07T00:00:00"/>
    <x v="0"/>
    <x v="0"/>
    <x v="1"/>
    <x v="13"/>
    <x v="0"/>
    <x v="0"/>
    <n v="1"/>
    <x v="1"/>
    <x v="5"/>
    <x v="1"/>
    <x v="30"/>
    <s v="Low Humidity"/>
    <x v="14"/>
    <n v="8.9599999999999999E-2"/>
    <n v="10"/>
    <x v="25"/>
    <x v="37"/>
  </r>
  <r>
    <x v="843"/>
    <d v="2011-02-07T00:00:00"/>
    <x v="0"/>
    <x v="0"/>
    <x v="1"/>
    <x v="14"/>
    <x v="0"/>
    <x v="0"/>
    <n v="1"/>
    <x v="1"/>
    <x v="5"/>
    <x v="1"/>
    <x v="30"/>
    <s v="Low Humidity"/>
    <x v="14"/>
    <n v="8.9599999999999999E-2"/>
    <n v="8"/>
    <x v="15"/>
    <x v="122"/>
  </r>
  <r>
    <x v="844"/>
    <d v="2011-02-07T00:00:00"/>
    <x v="0"/>
    <x v="0"/>
    <x v="1"/>
    <x v="15"/>
    <x v="0"/>
    <x v="0"/>
    <n v="1"/>
    <x v="1"/>
    <x v="4"/>
    <x v="1"/>
    <x v="5"/>
    <s v="Low Humidity"/>
    <x v="47"/>
    <n v="8.9599999999999999E-2"/>
    <n v="4"/>
    <x v="24"/>
    <x v="89"/>
  </r>
  <r>
    <x v="845"/>
    <d v="2011-02-07T00:00:00"/>
    <x v="0"/>
    <x v="0"/>
    <x v="1"/>
    <x v="16"/>
    <x v="0"/>
    <x v="0"/>
    <n v="1"/>
    <x v="1"/>
    <x v="5"/>
    <x v="1"/>
    <x v="4"/>
    <s v="Low Humidity"/>
    <x v="14"/>
    <n v="0.1343"/>
    <n v="16"/>
    <x v="52"/>
    <x v="181"/>
  </r>
  <r>
    <x v="846"/>
    <d v="2011-02-07T00:00:00"/>
    <x v="0"/>
    <x v="0"/>
    <x v="1"/>
    <x v="17"/>
    <x v="0"/>
    <x v="0"/>
    <n v="1"/>
    <x v="1"/>
    <x v="3"/>
    <x v="1"/>
    <x v="21"/>
    <s v="High Humidity"/>
    <x v="56"/>
    <n v="0.16420000000000001"/>
    <n v="9"/>
    <x v="134"/>
    <x v="182"/>
  </r>
  <r>
    <x v="847"/>
    <d v="2011-02-07T00:00:00"/>
    <x v="0"/>
    <x v="0"/>
    <x v="1"/>
    <x v="18"/>
    <x v="0"/>
    <x v="0"/>
    <n v="1"/>
    <x v="1"/>
    <x v="10"/>
    <x v="1"/>
    <x v="6"/>
    <s v="High Humidity"/>
    <x v="13"/>
    <n v="0.1343"/>
    <n v="5"/>
    <x v="162"/>
    <x v="172"/>
  </r>
  <r>
    <x v="848"/>
    <d v="2011-02-07T00:00:00"/>
    <x v="0"/>
    <x v="0"/>
    <x v="1"/>
    <x v="19"/>
    <x v="0"/>
    <x v="0"/>
    <n v="1"/>
    <x v="1"/>
    <x v="3"/>
    <x v="1"/>
    <x v="4"/>
    <s v="High Humidity"/>
    <x v="56"/>
    <n v="0"/>
    <n v="5"/>
    <x v="170"/>
    <x v="116"/>
  </r>
  <r>
    <x v="849"/>
    <d v="2011-02-07T00:00:00"/>
    <x v="0"/>
    <x v="0"/>
    <x v="1"/>
    <x v="20"/>
    <x v="0"/>
    <x v="0"/>
    <n v="1"/>
    <x v="1"/>
    <x v="3"/>
    <x v="1"/>
    <x v="6"/>
    <s v="High Humidity"/>
    <x v="56"/>
    <n v="0.1045"/>
    <n v="6"/>
    <x v="70"/>
    <x v="39"/>
  </r>
  <r>
    <x v="850"/>
    <d v="2011-02-07T00:00:00"/>
    <x v="0"/>
    <x v="0"/>
    <x v="1"/>
    <x v="21"/>
    <x v="0"/>
    <x v="0"/>
    <n v="1"/>
    <x v="0"/>
    <x v="3"/>
    <x v="1"/>
    <x v="4"/>
    <s v="High Humidity"/>
    <x v="56"/>
    <n v="0"/>
    <n v="3"/>
    <x v="102"/>
    <x v="53"/>
  </r>
  <r>
    <x v="851"/>
    <d v="2011-02-07T00:00:00"/>
    <x v="0"/>
    <x v="0"/>
    <x v="1"/>
    <x v="22"/>
    <x v="0"/>
    <x v="0"/>
    <n v="1"/>
    <x v="0"/>
    <x v="17"/>
    <x v="1"/>
    <x v="25"/>
    <s v="High Humidity"/>
    <x v="0"/>
    <n v="8.9599999999999999E-2"/>
    <n v="3"/>
    <x v="60"/>
    <x v="18"/>
  </r>
  <r>
    <x v="852"/>
    <d v="2011-02-07T00:00:00"/>
    <x v="0"/>
    <x v="0"/>
    <x v="1"/>
    <x v="23"/>
    <x v="0"/>
    <x v="0"/>
    <n v="1"/>
    <x v="1"/>
    <x v="11"/>
    <x v="1"/>
    <x v="6"/>
    <s v="High Humidity"/>
    <x v="0"/>
    <n v="0"/>
    <n v="6"/>
    <x v="23"/>
    <x v="94"/>
  </r>
  <r>
    <x v="853"/>
    <d v="2011-02-08T00:00:00"/>
    <x v="0"/>
    <x v="0"/>
    <x v="1"/>
    <x v="0"/>
    <x v="0"/>
    <x v="0"/>
    <n v="2"/>
    <x v="1"/>
    <x v="17"/>
    <x v="1"/>
    <x v="21"/>
    <s v="High Humidity"/>
    <x v="9"/>
    <n v="0"/>
    <n v="4"/>
    <x v="8"/>
    <x v="98"/>
  </r>
  <r>
    <x v="854"/>
    <d v="2011-02-08T00:00:00"/>
    <x v="0"/>
    <x v="0"/>
    <x v="1"/>
    <x v="1"/>
    <x v="0"/>
    <x v="0"/>
    <n v="2"/>
    <x v="1"/>
    <x v="17"/>
    <x v="1"/>
    <x v="21"/>
    <s v="High Humidity"/>
    <x v="9"/>
    <n v="0"/>
    <n v="0"/>
    <x v="22"/>
    <x v="48"/>
  </r>
  <r>
    <x v="855"/>
    <d v="2011-02-08T00:00:00"/>
    <x v="0"/>
    <x v="0"/>
    <x v="1"/>
    <x v="2"/>
    <x v="0"/>
    <x v="0"/>
    <n v="2"/>
    <x v="1"/>
    <x v="12"/>
    <x v="1"/>
    <x v="1"/>
    <s v="High Humidity"/>
    <x v="43"/>
    <n v="0.1045"/>
    <n v="1"/>
    <x v="4"/>
    <x v="5"/>
  </r>
  <r>
    <x v="856"/>
    <d v="2011-02-08T00:00:00"/>
    <x v="0"/>
    <x v="0"/>
    <x v="1"/>
    <x v="3"/>
    <x v="0"/>
    <x v="0"/>
    <n v="2"/>
    <x v="2"/>
    <x v="17"/>
    <x v="1"/>
    <x v="1"/>
    <s v="High Humidity"/>
    <x v="43"/>
    <n v="0.16420000000000001"/>
    <n v="0"/>
    <x v="4"/>
    <x v="4"/>
  </r>
  <r>
    <x v="857"/>
    <d v="2011-02-08T00:00:00"/>
    <x v="0"/>
    <x v="0"/>
    <x v="1"/>
    <x v="4"/>
    <x v="0"/>
    <x v="0"/>
    <n v="2"/>
    <x v="0"/>
    <x v="12"/>
    <x v="1"/>
    <x v="2"/>
    <s v="High Humidity"/>
    <x v="43"/>
    <n v="0.16420000000000001"/>
    <n v="0"/>
    <x v="35"/>
    <x v="6"/>
  </r>
  <r>
    <x v="858"/>
    <d v="2011-02-08T00:00:00"/>
    <x v="0"/>
    <x v="0"/>
    <x v="1"/>
    <x v="5"/>
    <x v="0"/>
    <x v="0"/>
    <n v="2"/>
    <x v="0"/>
    <x v="12"/>
    <x v="1"/>
    <x v="11"/>
    <s v="High Humidity"/>
    <x v="0"/>
    <n v="0.32840000000000003"/>
    <n v="0"/>
    <x v="6"/>
    <x v="5"/>
  </r>
  <r>
    <x v="859"/>
    <d v="2011-02-08T00:00:00"/>
    <x v="0"/>
    <x v="0"/>
    <x v="1"/>
    <x v="6"/>
    <x v="0"/>
    <x v="0"/>
    <n v="2"/>
    <x v="0"/>
    <x v="12"/>
    <x v="1"/>
    <x v="11"/>
    <s v="High Humidity"/>
    <x v="56"/>
    <n v="0.32840000000000003"/>
    <n v="0"/>
    <x v="87"/>
    <x v="21"/>
  </r>
  <r>
    <x v="860"/>
    <d v="2011-02-08T00:00:00"/>
    <x v="0"/>
    <x v="0"/>
    <x v="1"/>
    <x v="7"/>
    <x v="0"/>
    <x v="0"/>
    <n v="2"/>
    <x v="0"/>
    <x v="0"/>
    <x v="1"/>
    <x v="13"/>
    <s v="High Humidity"/>
    <x v="55"/>
    <n v="0.41789999999999999"/>
    <n v="3"/>
    <x v="106"/>
    <x v="50"/>
  </r>
  <r>
    <x v="861"/>
    <d v="2011-02-08T00:00:00"/>
    <x v="0"/>
    <x v="0"/>
    <x v="1"/>
    <x v="8"/>
    <x v="0"/>
    <x v="0"/>
    <n v="2"/>
    <x v="0"/>
    <x v="0"/>
    <x v="1"/>
    <x v="13"/>
    <s v="Low Humidity"/>
    <x v="34"/>
    <n v="0.49249999999999999"/>
    <n v="7"/>
    <x v="171"/>
    <x v="183"/>
  </r>
  <r>
    <x v="862"/>
    <d v="2011-02-08T00:00:00"/>
    <x v="0"/>
    <x v="0"/>
    <x v="1"/>
    <x v="9"/>
    <x v="0"/>
    <x v="0"/>
    <n v="2"/>
    <x v="0"/>
    <x v="0"/>
    <x v="1"/>
    <x v="13"/>
    <s v="Low Humidity"/>
    <x v="35"/>
    <n v="0.49249999999999999"/>
    <n v="7"/>
    <x v="172"/>
    <x v="169"/>
  </r>
  <r>
    <x v="863"/>
    <d v="2011-02-08T00:00:00"/>
    <x v="0"/>
    <x v="0"/>
    <x v="1"/>
    <x v="10"/>
    <x v="0"/>
    <x v="0"/>
    <n v="2"/>
    <x v="0"/>
    <x v="1"/>
    <x v="0"/>
    <x v="18"/>
    <s v="Low Humidity"/>
    <x v="19"/>
    <n v="0.55220000000000002"/>
    <n v="4"/>
    <x v="100"/>
    <x v="61"/>
  </r>
  <r>
    <x v="864"/>
    <d v="2011-02-08T00:00:00"/>
    <x v="0"/>
    <x v="0"/>
    <x v="1"/>
    <x v="11"/>
    <x v="0"/>
    <x v="0"/>
    <n v="2"/>
    <x v="0"/>
    <x v="1"/>
    <x v="0"/>
    <x v="18"/>
    <s v="Low Humidity"/>
    <x v="19"/>
    <n v="0.4627"/>
    <n v="1"/>
    <x v="47"/>
    <x v="89"/>
  </r>
  <r>
    <x v="865"/>
    <d v="2011-02-08T00:00:00"/>
    <x v="0"/>
    <x v="0"/>
    <x v="1"/>
    <x v="12"/>
    <x v="0"/>
    <x v="0"/>
    <n v="2"/>
    <x v="0"/>
    <x v="0"/>
    <x v="1"/>
    <x v="13"/>
    <s v="Low Humidity"/>
    <x v="41"/>
    <n v="0.49249999999999999"/>
    <n v="2"/>
    <x v="36"/>
    <x v="32"/>
  </r>
  <r>
    <x v="866"/>
    <d v="2011-02-08T00:00:00"/>
    <x v="0"/>
    <x v="0"/>
    <x v="1"/>
    <x v="13"/>
    <x v="0"/>
    <x v="0"/>
    <n v="2"/>
    <x v="1"/>
    <x v="0"/>
    <x v="1"/>
    <x v="13"/>
    <s v="Low Humidity"/>
    <x v="25"/>
    <n v="0.44779999999999998"/>
    <n v="2"/>
    <x v="41"/>
    <x v="89"/>
  </r>
  <r>
    <x v="867"/>
    <d v="2011-02-08T00:00:00"/>
    <x v="0"/>
    <x v="0"/>
    <x v="1"/>
    <x v="14"/>
    <x v="0"/>
    <x v="0"/>
    <n v="2"/>
    <x v="0"/>
    <x v="1"/>
    <x v="0"/>
    <x v="13"/>
    <s v="Low Humidity"/>
    <x v="38"/>
    <n v="0.41789999999999999"/>
    <n v="3"/>
    <x v="124"/>
    <x v="37"/>
  </r>
  <r>
    <x v="868"/>
    <d v="2011-02-08T00:00:00"/>
    <x v="0"/>
    <x v="0"/>
    <x v="1"/>
    <x v="15"/>
    <x v="0"/>
    <x v="0"/>
    <n v="2"/>
    <x v="0"/>
    <x v="1"/>
    <x v="0"/>
    <x v="13"/>
    <s v="Low Humidity"/>
    <x v="23"/>
    <n v="0.3881"/>
    <n v="6"/>
    <x v="108"/>
    <x v="41"/>
  </r>
  <r>
    <x v="869"/>
    <d v="2011-02-08T00:00:00"/>
    <x v="0"/>
    <x v="0"/>
    <x v="1"/>
    <x v="16"/>
    <x v="0"/>
    <x v="0"/>
    <n v="2"/>
    <x v="0"/>
    <x v="1"/>
    <x v="0"/>
    <x v="18"/>
    <s v="Low Humidity"/>
    <x v="23"/>
    <n v="0.52239999999999998"/>
    <n v="4"/>
    <x v="55"/>
    <x v="56"/>
  </r>
  <r>
    <x v="870"/>
    <d v="2011-02-08T00:00:00"/>
    <x v="0"/>
    <x v="0"/>
    <x v="1"/>
    <x v="17"/>
    <x v="0"/>
    <x v="0"/>
    <n v="2"/>
    <x v="0"/>
    <x v="1"/>
    <x v="0"/>
    <x v="18"/>
    <s v="Low Humidity"/>
    <x v="25"/>
    <n v="0.58209999999999995"/>
    <n v="4"/>
    <x v="157"/>
    <x v="170"/>
  </r>
  <r>
    <x v="871"/>
    <d v="2011-02-08T00:00:00"/>
    <x v="0"/>
    <x v="0"/>
    <x v="1"/>
    <x v="18"/>
    <x v="0"/>
    <x v="0"/>
    <n v="2"/>
    <x v="0"/>
    <x v="2"/>
    <x v="0"/>
    <x v="18"/>
    <s v="Low Humidity"/>
    <x v="25"/>
    <n v="0.3881"/>
    <n v="1"/>
    <x v="137"/>
    <x v="148"/>
  </r>
  <r>
    <x v="872"/>
    <d v="2011-02-08T00:00:00"/>
    <x v="0"/>
    <x v="0"/>
    <x v="1"/>
    <x v="19"/>
    <x v="0"/>
    <x v="0"/>
    <n v="2"/>
    <x v="0"/>
    <x v="13"/>
    <x v="0"/>
    <x v="16"/>
    <s v="Low Humidity"/>
    <x v="22"/>
    <n v="0.4627"/>
    <n v="1"/>
    <x v="129"/>
    <x v="129"/>
  </r>
  <r>
    <x v="873"/>
    <d v="2011-02-08T00:00:00"/>
    <x v="0"/>
    <x v="0"/>
    <x v="1"/>
    <x v="20"/>
    <x v="0"/>
    <x v="0"/>
    <n v="2"/>
    <x v="0"/>
    <x v="13"/>
    <x v="0"/>
    <x v="14"/>
    <s v="Low Humidity"/>
    <x v="22"/>
    <n v="0.32840000000000003"/>
    <n v="3"/>
    <x v="42"/>
    <x v="10"/>
  </r>
  <r>
    <x v="874"/>
    <d v="2011-02-08T00:00:00"/>
    <x v="0"/>
    <x v="0"/>
    <x v="1"/>
    <x v="21"/>
    <x v="0"/>
    <x v="0"/>
    <n v="2"/>
    <x v="0"/>
    <x v="14"/>
    <x v="0"/>
    <x v="15"/>
    <s v="Low Humidity"/>
    <x v="39"/>
    <n v="0.4627"/>
    <n v="8"/>
    <x v="24"/>
    <x v="60"/>
  </r>
  <r>
    <x v="875"/>
    <d v="2011-02-08T00:00:00"/>
    <x v="0"/>
    <x v="0"/>
    <x v="1"/>
    <x v="22"/>
    <x v="0"/>
    <x v="0"/>
    <n v="2"/>
    <x v="0"/>
    <x v="16"/>
    <x v="0"/>
    <x v="15"/>
    <s v="Low Humidity"/>
    <x v="39"/>
    <n v="0.35820000000000002"/>
    <n v="0"/>
    <x v="31"/>
    <x v="115"/>
  </r>
  <r>
    <x v="876"/>
    <d v="2011-02-08T00:00:00"/>
    <x v="0"/>
    <x v="0"/>
    <x v="1"/>
    <x v="23"/>
    <x v="0"/>
    <x v="0"/>
    <n v="2"/>
    <x v="0"/>
    <x v="16"/>
    <x v="0"/>
    <x v="15"/>
    <s v="Low Humidity"/>
    <x v="39"/>
    <n v="0.32840000000000003"/>
    <n v="3"/>
    <x v="33"/>
    <x v="47"/>
  </r>
  <r>
    <x v="877"/>
    <d v="2011-02-09T00:00:00"/>
    <x v="0"/>
    <x v="0"/>
    <x v="1"/>
    <x v="0"/>
    <x v="0"/>
    <x v="0"/>
    <n v="3"/>
    <x v="0"/>
    <x v="18"/>
    <x v="0"/>
    <x v="23"/>
    <s v="Low Humidity"/>
    <x v="42"/>
    <n v="0.35820000000000002"/>
    <n v="0"/>
    <x v="19"/>
    <x v="22"/>
  </r>
  <r>
    <x v="878"/>
    <d v="2011-02-09T00:00:00"/>
    <x v="0"/>
    <x v="0"/>
    <x v="1"/>
    <x v="1"/>
    <x v="0"/>
    <x v="0"/>
    <n v="3"/>
    <x v="0"/>
    <x v="18"/>
    <x v="0"/>
    <x v="15"/>
    <s v="Low Humidity"/>
    <x v="42"/>
    <n v="0.22389999999999999"/>
    <n v="0"/>
    <x v="7"/>
    <x v="85"/>
  </r>
  <r>
    <x v="879"/>
    <d v="2011-02-09T00:00:00"/>
    <x v="0"/>
    <x v="0"/>
    <x v="1"/>
    <x v="2"/>
    <x v="0"/>
    <x v="0"/>
    <n v="3"/>
    <x v="0"/>
    <x v="19"/>
    <x v="0"/>
    <x v="23"/>
    <s v="Low Humidity"/>
    <x v="41"/>
    <n v="0.28360000000000002"/>
    <n v="1"/>
    <x v="6"/>
    <x v="6"/>
  </r>
  <r>
    <x v="880"/>
    <d v="2011-02-09T00:00:00"/>
    <x v="0"/>
    <x v="0"/>
    <x v="1"/>
    <x v="3"/>
    <x v="0"/>
    <x v="0"/>
    <n v="3"/>
    <x v="0"/>
    <x v="20"/>
    <x v="0"/>
    <x v="23"/>
    <s v="Low Humidity"/>
    <x v="49"/>
    <n v="0.1343"/>
    <n v="0"/>
    <x v="6"/>
    <x v="5"/>
  </r>
  <r>
    <x v="881"/>
    <d v="2011-02-09T00:00:00"/>
    <x v="0"/>
    <x v="0"/>
    <x v="1"/>
    <x v="5"/>
    <x v="0"/>
    <x v="0"/>
    <n v="3"/>
    <x v="0"/>
    <x v="20"/>
    <x v="0"/>
    <x v="15"/>
    <s v="Low Humidity"/>
    <x v="49"/>
    <n v="0.1045"/>
    <n v="0"/>
    <x v="7"/>
    <x v="85"/>
  </r>
  <r>
    <x v="882"/>
    <d v="2011-02-09T00:00:00"/>
    <x v="0"/>
    <x v="0"/>
    <x v="1"/>
    <x v="6"/>
    <x v="0"/>
    <x v="0"/>
    <n v="3"/>
    <x v="0"/>
    <x v="20"/>
    <x v="0"/>
    <x v="20"/>
    <s v="Low Humidity"/>
    <x v="49"/>
    <n v="0"/>
    <n v="0"/>
    <x v="30"/>
    <x v="74"/>
  </r>
  <r>
    <x v="883"/>
    <d v="2011-02-09T00:00:00"/>
    <x v="0"/>
    <x v="0"/>
    <x v="1"/>
    <x v="7"/>
    <x v="0"/>
    <x v="0"/>
    <n v="3"/>
    <x v="0"/>
    <x v="20"/>
    <x v="0"/>
    <x v="15"/>
    <s v="Low Humidity"/>
    <x v="36"/>
    <n v="0.1045"/>
    <n v="4"/>
    <x v="73"/>
    <x v="111"/>
  </r>
  <r>
    <x v="884"/>
    <d v="2011-02-09T00:00:00"/>
    <x v="0"/>
    <x v="0"/>
    <x v="1"/>
    <x v="8"/>
    <x v="0"/>
    <x v="0"/>
    <n v="3"/>
    <x v="0"/>
    <x v="18"/>
    <x v="0"/>
    <x v="14"/>
    <s v="Low Humidity"/>
    <x v="16"/>
    <n v="0"/>
    <n v="1"/>
    <x v="173"/>
    <x v="184"/>
  </r>
  <r>
    <x v="885"/>
    <d v="2011-02-09T00:00:00"/>
    <x v="0"/>
    <x v="0"/>
    <x v="1"/>
    <x v="9"/>
    <x v="0"/>
    <x v="0"/>
    <n v="3"/>
    <x v="0"/>
    <x v="16"/>
    <x v="0"/>
    <x v="14"/>
    <s v="Low Humidity"/>
    <x v="17"/>
    <n v="0.16420000000000001"/>
    <n v="4"/>
    <x v="138"/>
    <x v="92"/>
  </r>
  <r>
    <x v="886"/>
    <d v="2011-02-09T00:00:00"/>
    <x v="0"/>
    <x v="0"/>
    <x v="1"/>
    <x v="10"/>
    <x v="0"/>
    <x v="0"/>
    <n v="3"/>
    <x v="0"/>
    <x v="14"/>
    <x v="0"/>
    <x v="18"/>
    <s v="Low Humidity"/>
    <x v="42"/>
    <n v="0"/>
    <n v="8"/>
    <x v="82"/>
    <x v="29"/>
  </r>
  <r>
    <x v="887"/>
    <d v="2011-02-09T00:00:00"/>
    <x v="0"/>
    <x v="0"/>
    <x v="1"/>
    <x v="11"/>
    <x v="0"/>
    <x v="0"/>
    <n v="3"/>
    <x v="1"/>
    <x v="14"/>
    <x v="0"/>
    <x v="20"/>
    <s v="Low Humidity"/>
    <x v="21"/>
    <n v="0.16420000000000001"/>
    <n v="1"/>
    <x v="71"/>
    <x v="102"/>
  </r>
  <r>
    <x v="888"/>
    <d v="2011-02-09T00:00:00"/>
    <x v="0"/>
    <x v="0"/>
    <x v="1"/>
    <x v="12"/>
    <x v="0"/>
    <x v="0"/>
    <n v="3"/>
    <x v="1"/>
    <x v="15"/>
    <x v="0"/>
    <x v="18"/>
    <s v="Low Humidity"/>
    <x v="22"/>
    <n v="0.22389999999999999"/>
    <n v="4"/>
    <x v="77"/>
    <x v="42"/>
  </r>
  <r>
    <x v="889"/>
    <d v="2011-02-09T00:00:00"/>
    <x v="0"/>
    <x v="0"/>
    <x v="1"/>
    <x v="13"/>
    <x v="0"/>
    <x v="0"/>
    <n v="3"/>
    <x v="0"/>
    <x v="15"/>
    <x v="0"/>
    <x v="17"/>
    <s v="Low Humidity"/>
    <x v="22"/>
    <n v="0.25369999999999998"/>
    <n v="2"/>
    <x v="28"/>
    <x v="83"/>
  </r>
  <r>
    <x v="890"/>
    <d v="2011-02-09T00:00:00"/>
    <x v="0"/>
    <x v="0"/>
    <x v="1"/>
    <x v="14"/>
    <x v="0"/>
    <x v="0"/>
    <n v="3"/>
    <x v="0"/>
    <x v="2"/>
    <x v="0"/>
    <x v="18"/>
    <s v="Low Humidity"/>
    <x v="46"/>
    <n v="0.29849999999999999"/>
    <n v="2"/>
    <x v="90"/>
    <x v="154"/>
  </r>
  <r>
    <x v="891"/>
    <d v="2011-02-09T00:00:00"/>
    <x v="0"/>
    <x v="0"/>
    <x v="1"/>
    <x v="15"/>
    <x v="0"/>
    <x v="0"/>
    <n v="3"/>
    <x v="1"/>
    <x v="2"/>
    <x v="0"/>
    <x v="18"/>
    <s v="Low Humidity"/>
    <x v="46"/>
    <n v="0.28360000000000002"/>
    <n v="3"/>
    <x v="124"/>
    <x v="37"/>
  </r>
  <r>
    <x v="892"/>
    <d v="2011-02-09T00:00:00"/>
    <x v="0"/>
    <x v="0"/>
    <x v="1"/>
    <x v="16"/>
    <x v="0"/>
    <x v="0"/>
    <n v="3"/>
    <x v="1"/>
    <x v="2"/>
    <x v="0"/>
    <x v="13"/>
    <s v="Low Humidity"/>
    <x v="38"/>
    <n v="0.25369999999999998"/>
    <n v="7"/>
    <x v="109"/>
    <x v="67"/>
  </r>
  <r>
    <x v="893"/>
    <d v="2011-02-09T00:00:00"/>
    <x v="0"/>
    <x v="0"/>
    <x v="1"/>
    <x v="17"/>
    <x v="0"/>
    <x v="0"/>
    <n v="3"/>
    <x v="1"/>
    <x v="2"/>
    <x v="0"/>
    <x v="13"/>
    <s v="Low Humidity"/>
    <x v="46"/>
    <n v="0.25369999999999998"/>
    <n v="9"/>
    <x v="174"/>
    <x v="150"/>
  </r>
  <r>
    <x v="894"/>
    <d v="2011-02-09T00:00:00"/>
    <x v="0"/>
    <x v="0"/>
    <x v="1"/>
    <x v="18"/>
    <x v="0"/>
    <x v="0"/>
    <n v="3"/>
    <x v="1"/>
    <x v="15"/>
    <x v="0"/>
    <x v="17"/>
    <s v="Low Humidity"/>
    <x v="19"/>
    <n v="0.29849999999999999"/>
    <n v="2"/>
    <x v="175"/>
    <x v="185"/>
  </r>
  <r>
    <x v="895"/>
    <d v="2011-02-09T00:00:00"/>
    <x v="0"/>
    <x v="0"/>
    <x v="1"/>
    <x v="19"/>
    <x v="0"/>
    <x v="0"/>
    <n v="3"/>
    <x v="2"/>
    <x v="14"/>
    <x v="0"/>
    <x v="16"/>
    <s v="High Humidity"/>
    <x v="3"/>
    <n v="0.25369999999999998"/>
    <n v="1"/>
    <x v="61"/>
    <x v="39"/>
  </r>
  <r>
    <x v="896"/>
    <d v="2011-02-09T00:00:00"/>
    <x v="0"/>
    <x v="0"/>
    <x v="1"/>
    <x v="20"/>
    <x v="0"/>
    <x v="0"/>
    <n v="3"/>
    <x v="2"/>
    <x v="14"/>
    <x v="0"/>
    <x v="20"/>
    <s v="High Humidity"/>
    <x v="3"/>
    <n v="0.16420000000000001"/>
    <n v="0"/>
    <x v="151"/>
    <x v="11"/>
  </r>
  <r>
    <x v="897"/>
    <d v="2011-02-09T00:00:00"/>
    <x v="0"/>
    <x v="0"/>
    <x v="1"/>
    <x v="21"/>
    <x v="0"/>
    <x v="0"/>
    <n v="3"/>
    <x v="1"/>
    <x v="14"/>
    <x v="0"/>
    <x v="20"/>
    <s v="High Humidity"/>
    <x v="3"/>
    <n v="0.16420000000000001"/>
    <n v="0"/>
    <x v="93"/>
    <x v="56"/>
  </r>
  <r>
    <x v="898"/>
    <d v="2011-02-09T00:00:00"/>
    <x v="0"/>
    <x v="0"/>
    <x v="1"/>
    <x v="22"/>
    <x v="0"/>
    <x v="0"/>
    <n v="3"/>
    <x v="2"/>
    <x v="13"/>
    <x v="0"/>
    <x v="17"/>
    <s v="High Humidity"/>
    <x v="1"/>
    <n v="0.16420000000000001"/>
    <n v="4"/>
    <x v="76"/>
    <x v="66"/>
  </r>
  <r>
    <x v="899"/>
    <d v="2011-02-09T00:00:00"/>
    <x v="0"/>
    <x v="0"/>
    <x v="1"/>
    <x v="23"/>
    <x v="0"/>
    <x v="0"/>
    <n v="3"/>
    <x v="2"/>
    <x v="13"/>
    <x v="0"/>
    <x v="20"/>
    <s v="High Humidity"/>
    <x v="1"/>
    <n v="0.19400000000000001"/>
    <n v="0"/>
    <x v="53"/>
    <x v="18"/>
  </r>
  <r>
    <x v="900"/>
    <d v="2011-02-10T00:00:00"/>
    <x v="0"/>
    <x v="0"/>
    <x v="1"/>
    <x v="0"/>
    <x v="0"/>
    <x v="0"/>
    <n v="4"/>
    <x v="2"/>
    <x v="14"/>
    <x v="0"/>
    <x v="14"/>
    <s v="High Humidity"/>
    <x v="3"/>
    <n v="0.19400000000000001"/>
    <n v="0"/>
    <x v="20"/>
    <x v="0"/>
  </r>
  <r>
    <x v="901"/>
    <d v="2011-02-10T00:00:00"/>
    <x v="0"/>
    <x v="0"/>
    <x v="1"/>
    <x v="1"/>
    <x v="0"/>
    <x v="0"/>
    <n v="4"/>
    <x v="2"/>
    <x v="14"/>
    <x v="0"/>
    <x v="20"/>
    <s v="High Humidity"/>
    <x v="1"/>
    <n v="0.1343"/>
    <n v="0"/>
    <x v="7"/>
    <x v="85"/>
  </r>
  <r>
    <x v="902"/>
    <d v="2011-02-10T00:00:00"/>
    <x v="0"/>
    <x v="0"/>
    <x v="1"/>
    <x v="2"/>
    <x v="0"/>
    <x v="0"/>
    <n v="4"/>
    <x v="2"/>
    <x v="14"/>
    <x v="0"/>
    <x v="20"/>
    <s v="High Humidity"/>
    <x v="1"/>
    <n v="0.1343"/>
    <n v="0"/>
    <x v="35"/>
    <x v="6"/>
  </r>
  <r>
    <x v="903"/>
    <d v="2011-02-10T00:00:00"/>
    <x v="0"/>
    <x v="0"/>
    <x v="1"/>
    <x v="4"/>
    <x v="0"/>
    <x v="0"/>
    <n v="4"/>
    <x v="1"/>
    <x v="14"/>
    <x v="0"/>
    <x v="14"/>
    <s v="Low Humidity"/>
    <x v="29"/>
    <n v="0.22389999999999999"/>
    <n v="0"/>
    <x v="4"/>
    <x v="4"/>
  </r>
  <r>
    <x v="904"/>
    <d v="2011-02-10T00:00:00"/>
    <x v="0"/>
    <x v="0"/>
    <x v="1"/>
    <x v="5"/>
    <x v="0"/>
    <x v="0"/>
    <n v="4"/>
    <x v="1"/>
    <x v="16"/>
    <x v="0"/>
    <x v="16"/>
    <s v="Low Humidity"/>
    <x v="20"/>
    <n v="0.22389999999999999"/>
    <n v="0"/>
    <x v="8"/>
    <x v="24"/>
  </r>
  <r>
    <x v="905"/>
    <d v="2011-02-10T00:00:00"/>
    <x v="0"/>
    <x v="0"/>
    <x v="1"/>
    <x v="6"/>
    <x v="0"/>
    <x v="0"/>
    <n v="4"/>
    <x v="1"/>
    <x v="16"/>
    <x v="0"/>
    <x v="16"/>
    <s v="Low Humidity"/>
    <x v="47"/>
    <n v="0.28360000000000002"/>
    <n v="0"/>
    <x v="16"/>
    <x v="132"/>
  </r>
  <r>
    <x v="906"/>
    <d v="2011-02-10T00:00:00"/>
    <x v="0"/>
    <x v="0"/>
    <x v="1"/>
    <x v="7"/>
    <x v="0"/>
    <x v="0"/>
    <n v="4"/>
    <x v="0"/>
    <x v="18"/>
    <x v="0"/>
    <x v="23"/>
    <s v="Low Humidity"/>
    <x v="20"/>
    <n v="0.41789999999999999"/>
    <n v="0"/>
    <x v="176"/>
    <x v="111"/>
  </r>
  <r>
    <x v="907"/>
    <d v="2011-02-10T00:00:00"/>
    <x v="0"/>
    <x v="0"/>
    <x v="1"/>
    <x v="8"/>
    <x v="0"/>
    <x v="0"/>
    <n v="4"/>
    <x v="0"/>
    <x v="18"/>
    <x v="0"/>
    <x v="23"/>
    <s v="Low Humidity"/>
    <x v="36"/>
    <n v="0.32840000000000003"/>
    <n v="5"/>
    <x v="177"/>
    <x v="106"/>
  </r>
  <r>
    <x v="908"/>
    <d v="2011-02-10T00:00:00"/>
    <x v="0"/>
    <x v="0"/>
    <x v="1"/>
    <x v="9"/>
    <x v="0"/>
    <x v="0"/>
    <n v="4"/>
    <x v="0"/>
    <x v="16"/>
    <x v="0"/>
    <x v="15"/>
    <s v="Low Humidity"/>
    <x v="16"/>
    <n v="0.35820000000000002"/>
    <n v="1"/>
    <x v="178"/>
    <x v="78"/>
  </r>
  <r>
    <x v="909"/>
    <d v="2011-02-10T00:00:00"/>
    <x v="0"/>
    <x v="0"/>
    <x v="1"/>
    <x v="10"/>
    <x v="0"/>
    <x v="0"/>
    <n v="4"/>
    <x v="0"/>
    <x v="16"/>
    <x v="0"/>
    <x v="15"/>
    <s v="Low Humidity"/>
    <x v="16"/>
    <n v="0.29849999999999999"/>
    <n v="1"/>
    <x v="60"/>
    <x v="17"/>
  </r>
  <r>
    <x v="910"/>
    <d v="2011-02-10T00:00:00"/>
    <x v="0"/>
    <x v="0"/>
    <x v="1"/>
    <x v="11"/>
    <x v="0"/>
    <x v="0"/>
    <n v="4"/>
    <x v="0"/>
    <x v="14"/>
    <x v="0"/>
    <x v="16"/>
    <s v="Low Humidity"/>
    <x v="17"/>
    <n v="0.35820000000000002"/>
    <n v="1"/>
    <x v="100"/>
    <x v="79"/>
  </r>
  <r>
    <x v="911"/>
    <d v="2011-02-10T00:00:00"/>
    <x v="0"/>
    <x v="0"/>
    <x v="1"/>
    <x v="12"/>
    <x v="0"/>
    <x v="0"/>
    <n v="4"/>
    <x v="0"/>
    <x v="13"/>
    <x v="0"/>
    <x v="14"/>
    <s v="Low Humidity"/>
    <x v="46"/>
    <n v="0.3881"/>
    <n v="4"/>
    <x v="65"/>
    <x v="83"/>
  </r>
  <r>
    <x v="912"/>
    <d v="2011-02-10T00:00:00"/>
    <x v="0"/>
    <x v="0"/>
    <x v="1"/>
    <x v="13"/>
    <x v="0"/>
    <x v="0"/>
    <n v="4"/>
    <x v="0"/>
    <x v="15"/>
    <x v="0"/>
    <x v="17"/>
    <s v="Low Humidity"/>
    <x v="44"/>
    <n v="0.29849999999999999"/>
    <n v="3"/>
    <x v="79"/>
    <x v="69"/>
  </r>
  <r>
    <x v="913"/>
    <d v="2011-02-10T00:00:00"/>
    <x v="0"/>
    <x v="0"/>
    <x v="1"/>
    <x v="14"/>
    <x v="0"/>
    <x v="0"/>
    <n v="4"/>
    <x v="0"/>
    <x v="2"/>
    <x v="0"/>
    <x v="18"/>
    <s v="Low Humidity"/>
    <x v="57"/>
    <n v="0.28360000000000002"/>
    <n v="6"/>
    <x v="76"/>
    <x v="61"/>
  </r>
  <r>
    <x v="914"/>
    <d v="2011-02-10T00:00:00"/>
    <x v="0"/>
    <x v="0"/>
    <x v="1"/>
    <x v="15"/>
    <x v="0"/>
    <x v="0"/>
    <n v="4"/>
    <x v="0"/>
    <x v="2"/>
    <x v="0"/>
    <x v="13"/>
    <s v="Low Humidity"/>
    <x v="59"/>
    <n v="0.25369999999999998"/>
    <n v="0"/>
    <x v="54"/>
    <x v="89"/>
  </r>
  <r>
    <x v="915"/>
    <d v="2011-02-10T00:00:00"/>
    <x v="0"/>
    <x v="0"/>
    <x v="1"/>
    <x v="16"/>
    <x v="0"/>
    <x v="0"/>
    <n v="4"/>
    <x v="0"/>
    <x v="2"/>
    <x v="0"/>
    <x v="18"/>
    <s v="Low Humidity"/>
    <x v="57"/>
    <n v="0.29849999999999999"/>
    <n v="4"/>
    <x v="83"/>
    <x v="138"/>
  </r>
  <r>
    <x v="916"/>
    <d v="2011-02-10T00:00:00"/>
    <x v="0"/>
    <x v="0"/>
    <x v="1"/>
    <x v="17"/>
    <x v="0"/>
    <x v="0"/>
    <n v="4"/>
    <x v="0"/>
    <x v="15"/>
    <x v="0"/>
    <x v="18"/>
    <s v="Low Humidity"/>
    <x v="60"/>
    <n v="0.19400000000000001"/>
    <n v="6"/>
    <x v="136"/>
    <x v="186"/>
  </r>
  <r>
    <x v="917"/>
    <d v="2011-02-10T00:00:00"/>
    <x v="0"/>
    <x v="0"/>
    <x v="1"/>
    <x v="18"/>
    <x v="0"/>
    <x v="0"/>
    <n v="4"/>
    <x v="0"/>
    <x v="13"/>
    <x v="0"/>
    <x v="18"/>
    <s v="Low Humidity"/>
    <x v="40"/>
    <n v="0.1343"/>
    <n v="3"/>
    <x v="174"/>
    <x v="187"/>
  </r>
  <r>
    <x v="918"/>
    <d v="2011-02-10T00:00:00"/>
    <x v="0"/>
    <x v="0"/>
    <x v="1"/>
    <x v="19"/>
    <x v="0"/>
    <x v="0"/>
    <n v="4"/>
    <x v="0"/>
    <x v="14"/>
    <x v="0"/>
    <x v="17"/>
    <s v="Low Humidity"/>
    <x v="40"/>
    <n v="0.1045"/>
    <n v="2"/>
    <x v="59"/>
    <x v="59"/>
  </r>
  <r>
    <x v="919"/>
    <d v="2011-02-10T00:00:00"/>
    <x v="0"/>
    <x v="0"/>
    <x v="1"/>
    <x v="20"/>
    <x v="0"/>
    <x v="0"/>
    <n v="4"/>
    <x v="0"/>
    <x v="14"/>
    <x v="0"/>
    <x v="18"/>
    <s v="Low Humidity"/>
    <x v="61"/>
    <n v="8.9599999999999999E-2"/>
    <n v="4"/>
    <x v="139"/>
    <x v="54"/>
  </r>
  <r>
    <x v="920"/>
    <d v="2011-02-10T00:00:00"/>
    <x v="0"/>
    <x v="0"/>
    <x v="1"/>
    <x v="21"/>
    <x v="0"/>
    <x v="0"/>
    <n v="4"/>
    <x v="0"/>
    <x v="14"/>
    <x v="0"/>
    <x v="12"/>
    <s v="Low Humidity"/>
    <x v="17"/>
    <n v="0"/>
    <n v="2"/>
    <x v="14"/>
    <x v="44"/>
  </r>
  <r>
    <x v="921"/>
    <d v="2011-02-10T00:00:00"/>
    <x v="0"/>
    <x v="0"/>
    <x v="1"/>
    <x v="22"/>
    <x v="0"/>
    <x v="0"/>
    <n v="4"/>
    <x v="0"/>
    <x v="16"/>
    <x v="0"/>
    <x v="13"/>
    <s v="Low Humidity"/>
    <x v="17"/>
    <n v="0"/>
    <n v="4"/>
    <x v="12"/>
    <x v="41"/>
  </r>
  <r>
    <x v="922"/>
    <d v="2011-02-10T00:00:00"/>
    <x v="0"/>
    <x v="0"/>
    <x v="1"/>
    <x v="23"/>
    <x v="0"/>
    <x v="0"/>
    <n v="4"/>
    <x v="0"/>
    <x v="16"/>
    <x v="0"/>
    <x v="20"/>
    <s v="Low Humidity"/>
    <x v="16"/>
    <n v="0.1045"/>
    <n v="1"/>
    <x v="39"/>
    <x v="19"/>
  </r>
  <r>
    <x v="923"/>
    <d v="2011-02-11T00:00:00"/>
    <x v="0"/>
    <x v="0"/>
    <x v="1"/>
    <x v="0"/>
    <x v="0"/>
    <x v="0"/>
    <n v="5"/>
    <x v="0"/>
    <x v="18"/>
    <x v="0"/>
    <x v="14"/>
    <s v="Low Humidity"/>
    <x v="36"/>
    <n v="0.1045"/>
    <n v="2"/>
    <x v="98"/>
    <x v="8"/>
  </r>
  <r>
    <x v="924"/>
    <d v="2011-02-11T00:00:00"/>
    <x v="0"/>
    <x v="0"/>
    <x v="1"/>
    <x v="1"/>
    <x v="0"/>
    <x v="0"/>
    <n v="5"/>
    <x v="0"/>
    <x v="18"/>
    <x v="0"/>
    <x v="14"/>
    <s v="Low Humidity"/>
    <x v="47"/>
    <n v="8.9599999999999999E-2"/>
    <n v="1"/>
    <x v="8"/>
    <x v="85"/>
  </r>
  <r>
    <x v="925"/>
    <d v="2011-02-11T00:00:00"/>
    <x v="0"/>
    <x v="0"/>
    <x v="1"/>
    <x v="2"/>
    <x v="0"/>
    <x v="0"/>
    <n v="5"/>
    <x v="0"/>
    <x v="18"/>
    <x v="0"/>
    <x v="14"/>
    <s v="Low Humidity"/>
    <x v="47"/>
    <n v="8.9599999999999999E-2"/>
    <n v="0"/>
    <x v="35"/>
    <x v="6"/>
  </r>
  <r>
    <x v="926"/>
    <d v="2011-02-11T00:00:00"/>
    <x v="0"/>
    <x v="0"/>
    <x v="1"/>
    <x v="5"/>
    <x v="0"/>
    <x v="0"/>
    <n v="5"/>
    <x v="0"/>
    <x v="19"/>
    <x v="0"/>
    <x v="16"/>
    <s v="High Humidity"/>
    <x v="30"/>
    <n v="8.9599999999999999E-2"/>
    <n v="0"/>
    <x v="22"/>
    <x v="48"/>
  </r>
  <r>
    <x v="927"/>
    <d v="2011-02-11T00:00:00"/>
    <x v="0"/>
    <x v="0"/>
    <x v="1"/>
    <x v="6"/>
    <x v="0"/>
    <x v="0"/>
    <n v="5"/>
    <x v="0"/>
    <x v="18"/>
    <x v="0"/>
    <x v="18"/>
    <s v="High Humidity"/>
    <x v="31"/>
    <n v="0"/>
    <n v="1"/>
    <x v="140"/>
    <x v="108"/>
  </r>
  <r>
    <x v="928"/>
    <d v="2011-02-11T00:00:00"/>
    <x v="0"/>
    <x v="0"/>
    <x v="1"/>
    <x v="7"/>
    <x v="0"/>
    <x v="0"/>
    <n v="5"/>
    <x v="0"/>
    <x v="19"/>
    <x v="0"/>
    <x v="17"/>
    <s v="High Humidity"/>
    <x v="62"/>
    <n v="0"/>
    <n v="1"/>
    <x v="26"/>
    <x v="30"/>
  </r>
  <r>
    <x v="929"/>
    <d v="2011-02-11T00:00:00"/>
    <x v="0"/>
    <x v="0"/>
    <x v="1"/>
    <x v="8"/>
    <x v="0"/>
    <x v="0"/>
    <n v="5"/>
    <x v="0"/>
    <x v="18"/>
    <x v="0"/>
    <x v="16"/>
    <s v="High Humidity"/>
    <x v="32"/>
    <n v="0.16420000000000001"/>
    <n v="4"/>
    <x v="179"/>
    <x v="182"/>
  </r>
  <r>
    <x v="930"/>
    <d v="2011-02-11T00:00:00"/>
    <x v="0"/>
    <x v="0"/>
    <x v="1"/>
    <x v="9"/>
    <x v="0"/>
    <x v="0"/>
    <n v="5"/>
    <x v="0"/>
    <x v="16"/>
    <x v="0"/>
    <x v="16"/>
    <s v="High Humidity"/>
    <x v="32"/>
    <n v="0.22389999999999999"/>
    <n v="8"/>
    <x v="126"/>
    <x v="188"/>
  </r>
  <r>
    <x v="931"/>
    <d v="2011-02-11T00:00:00"/>
    <x v="0"/>
    <x v="0"/>
    <x v="1"/>
    <x v="10"/>
    <x v="0"/>
    <x v="0"/>
    <n v="5"/>
    <x v="0"/>
    <x v="14"/>
    <x v="0"/>
    <x v="14"/>
    <s v="High Humidity"/>
    <x v="27"/>
    <n v="0.19400000000000001"/>
    <n v="5"/>
    <x v="87"/>
    <x v="40"/>
  </r>
  <r>
    <x v="932"/>
    <d v="2011-02-11T00:00:00"/>
    <x v="0"/>
    <x v="0"/>
    <x v="1"/>
    <x v="11"/>
    <x v="0"/>
    <x v="0"/>
    <n v="5"/>
    <x v="0"/>
    <x v="1"/>
    <x v="0"/>
    <x v="11"/>
    <s v="Low Humidity"/>
    <x v="19"/>
    <n v="0.1343"/>
    <n v="12"/>
    <x v="15"/>
    <x v="37"/>
  </r>
  <r>
    <x v="933"/>
    <d v="2011-02-11T00:00:00"/>
    <x v="0"/>
    <x v="0"/>
    <x v="1"/>
    <x v="12"/>
    <x v="0"/>
    <x v="0"/>
    <n v="5"/>
    <x v="0"/>
    <x v="1"/>
    <x v="0"/>
    <x v="11"/>
    <s v="Low Humidity"/>
    <x v="19"/>
    <n v="0.1343"/>
    <n v="7"/>
    <x v="27"/>
    <x v="68"/>
  </r>
  <r>
    <x v="934"/>
    <d v="2011-02-11T00:00:00"/>
    <x v="0"/>
    <x v="0"/>
    <x v="1"/>
    <x v="13"/>
    <x v="0"/>
    <x v="0"/>
    <n v="5"/>
    <x v="0"/>
    <x v="0"/>
    <x v="1"/>
    <x v="11"/>
    <s v="Low Humidity"/>
    <x v="23"/>
    <n v="0.19400000000000001"/>
    <n v="21"/>
    <x v="121"/>
    <x v="14"/>
  </r>
  <r>
    <x v="935"/>
    <d v="2011-02-11T00:00:00"/>
    <x v="0"/>
    <x v="0"/>
    <x v="1"/>
    <x v="14"/>
    <x v="0"/>
    <x v="0"/>
    <n v="5"/>
    <x v="0"/>
    <x v="11"/>
    <x v="1"/>
    <x v="0"/>
    <s v="Low Humidity"/>
    <x v="60"/>
    <n v="0.25369999999999998"/>
    <n v="17"/>
    <x v="28"/>
    <x v="11"/>
  </r>
  <r>
    <x v="936"/>
    <d v="2011-02-11T00:00:00"/>
    <x v="0"/>
    <x v="0"/>
    <x v="1"/>
    <x v="15"/>
    <x v="0"/>
    <x v="0"/>
    <n v="5"/>
    <x v="0"/>
    <x v="3"/>
    <x v="1"/>
    <x v="21"/>
    <s v="Low Humidity"/>
    <x v="58"/>
    <n v="0.16420000000000001"/>
    <n v="12"/>
    <x v="133"/>
    <x v="30"/>
  </r>
  <r>
    <x v="937"/>
    <d v="2011-02-11T00:00:00"/>
    <x v="0"/>
    <x v="0"/>
    <x v="1"/>
    <x v="16"/>
    <x v="0"/>
    <x v="0"/>
    <n v="5"/>
    <x v="0"/>
    <x v="11"/>
    <x v="1"/>
    <x v="0"/>
    <s v="Low Humidity"/>
    <x v="40"/>
    <n v="0.19400000000000001"/>
    <n v="14"/>
    <x v="180"/>
    <x v="139"/>
  </r>
  <r>
    <x v="938"/>
    <d v="2011-02-11T00:00:00"/>
    <x v="0"/>
    <x v="0"/>
    <x v="1"/>
    <x v="17"/>
    <x v="0"/>
    <x v="0"/>
    <n v="5"/>
    <x v="0"/>
    <x v="11"/>
    <x v="1"/>
    <x v="6"/>
    <s v="Low Humidity"/>
    <x v="63"/>
    <n v="0"/>
    <n v="18"/>
    <x v="181"/>
    <x v="189"/>
  </r>
  <r>
    <x v="939"/>
    <d v="2011-02-11T00:00:00"/>
    <x v="0"/>
    <x v="0"/>
    <x v="1"/>
    <x v="18"/>
    <x v="0"/>
    <x v="0"/>
    <n v="5"/>
    <x v="0"/>
    <x v="17"/>
    <x v="1"/>
    <x v="21"/>
    <s v="Low Humidity"/>
    <x v="40"/>
    <n v="0"/>
    <n v="9"/>
    <x v="158"/>
    <x v="177"/>
  </r>
  <r>
    <x v="940"/>
    <d v="2011-02-11T00:00:00"/>
    <x v="0"/>
    <x v="0"/>
    <x v="1"/>
    <x v="19"/>
    <x v="0"/>
    <x v="0"/>
    <n v="5"/>
    <x v="0"/>
    <x v="12"/>
    <x v="1"/>
    <x v="25"/>
    <s v="Low Humidity"/>
    <x v="39"/>
    <n v="0"/>
    <n v="7"/>
    <x v="111"/>
    <x v="129"/>
  </r>
  <r>
    <x v="941"/>
    <d v="2011-02-11T00:00:00"/>
    <x v="0"/>
    <x v="0"/>
    <x v="1"/>
    <x v="20"/>
    <x v="0"/>
    <x v="0"/>
    <n v="5"/>
    <x v="0"/>
    <x v="1"/>
    <x v="0"/>
    <x v="11"/>
    <s v="Low Humidity"/>
    <x v="28"/>
    <n v="0.1343"/>
    <n v="2"/>
    <x v="124"/>
    <x v="55"/>
  </r>
  <r>
    <x v="942"/>
    <d v="2011-02-11T00:00:00"/>
    <x v="0"/>
    <x v="0"/>
    <x v="1"/>
    <x v="21"/>
    <x v="0"/>
    <x v="0"/>
    <n v="5"/>
    <x v="0"/>
    <x v="2"/>
    <x v="0"/>
    <x v="12"/>
    <s v="Low Humidity"/>
    <x v="29"/>
    <n v="0.1343"/>
    <n v="1"/>
    <x v="24"/>
    <x v="105"/>
  </r>
  <r>
    <x v="943"/>
    <d v="2011-02-11T00:00:00"/>
    <x v="0"/>
    <x v="0"/>
    <x v="1"/>
    <x v="22"/>
    <x v="0"/>
    <x v="0"/>
    <n v="5"/>
    <x v="0"/>
    <x v="2"/>
    <x v="0"/>
    <x v="11"/>
    <s v="High Humidity"/>
    <x v="26"/>
    <n v="8.9599999999999999E-2"/>
    <n v="2"/>
    <x v="40"/>
    <x v="74"/>
  </r>
  <r>
    <x v="944"/>
    <d v="2011-02-11T00:00:00"/>
    <x v="0"/>
    <x v="0"/>
    <x v="1"/>
    <x v="23"/>
    <x v="0"/>
    <x v="0"/>
    <n v="5"/>
    <x v="0"/>
    <x v="15"/>
    <x v="0"/>
    <x v="19"/>
    <s v="High Humidity"/>
    <x v="27"/>
    <n v="0"/>
    <n v="5"/>
    <x v="41"/>
    <x v="26"/>
  </r>
  <r>
    <x v="945"/>
    <d v="2011-02-12T00:00:00"/>
    <x v="0"/>
    <x v="0"/>
    <x v="1"/>
    <x v="0"/>
    <x v="0"/>
    <x v="0"/>
    <n v="6"/>
    <x v="0"/>
    <x v="13"/>
    <x v="0"/>
    <x v="13"/>
    <s v="High Humidity"/>
    <x v="27"/>
    <n v="8.9599999999999999E-2"/>
    <n v="3"/>
    <x v="2"/>
    <x v="33"/>
  </r>
  <r>
    <x v="946"/>
    <d v="2011-02-12T00:00:00"/>
    <x v="0"/>
    <x v="0"/>
    <x v="1"/>
    <x v="1"/>
    <x v="0"/>
    <x v="0"/>
    <n v="6"/>
    <x v="0"/>
    <x v="14"/>
    <x v="0"/>
    <x v="12"/>
    <s v="High Humidity"/>
    <x v="3"/>
    <n v="0"/>
    <n v="2"/>
    <x v="97"/>
    <x v="108"/>
  </r>
  <r>
    <x v="947"/>
    <d v="2011-02-12T00:00:00"/>
    <x v="0"/>
    <x v="0"/>
    <x v="1"/>
    <x v="2"/>
    <x v="0"/>
    <x v="0"/>
    <n v="6"/>
    <x v="0"/>
    <x v="14"/>
    <x v="0"/>
    <x v="12"/>
    <s v="High Humidity"/>
    <x v="1"/>
    <n v="0"/>
    <n v="2"/>
    <x v="0"/>
    <x v="93"/>
  </r>
  <r>
    <x v="948"/>
    <d v="2011-02-12T00:00:00"/>
    <x v="0"/>
    <x v="0"/>
    <x v="1"/>
    <x v="3"/>
    <x v="0"/>
    <x v="0"/>
    <n v="6"/>
    <x v="0"/>
    <x v="16"/>
    <x v="0"/>
    <x v="13"/>
    <s v="High Humidity"/>
    <x v="1"/>
    <n v="0"/>
    <n v="3"/>
    <x v="7"/>
    <x v="98"/>
  </r>
  <r>
    <x v="949"/>
    <d v="2011-02-12T00:00:00"/>
    <x v="0"/>
    <x v="0"/>
    <x v="1"/>
    <x v="4"/>
    <x v="0"/>
    <x v="0"/>
    <n v="6"/>
    <x v="0"/>
    <x v="16"/>
    <x v="0"/>
    <x v="17"/>
    <s v="High Humidity"/>
    <x v="32"/>
    <n v="8.9599999999999999E-2"/>
    <n v="0"/>
    <x v="22"/>
    <x v="48"/>
  </r>
  <r>
    <x v="950"/>
    <d v="2011-02-12T00:00:00"/>
    <x v="0"/>
    <x v="0"/>
    <x v="1"/>
    <x v="5"/>
    <x v="0"/>
    <x v="0"/>
    <n v="6"/>
    <x v="0"/>
    <x v="16"/>
    <x v="0"/>
    <x v="17"/>
    <s v="High Humidity"/>
    <x v="32"/>
    <n v="8.9599999999999999E-2"/>
    <n v="0"/>
    <x v="4"/>
    <x v="4"/>
  </r>
  <r>
    <x v="951"/>
    <d v="2011-02-12T00:00:00"/>
    <x v="0"/>
    <x v="0"/>
    <x v="1"/>
    <x v="6"/>
    <x v="0"/>
    <x v="0"/>
    <n v="6"/>
    <x v="0"/>
    <x v="16"/>
    <x v="0"/>
    <x v="14"/>
    <s v="High Humidity"/>
    <x v="43"/>
    <n v="0.19400000000000001"/>
    <n v="1"/>
    <x v="4"/>
    <x v="5"/>
  </r>
  <r>
    <x v="952"/>
    <d v="2011-02-12T00:00:00"/>
    <x v="0"/>
    <x v="0"/>
    <x v="1"/>
    <x v="7"/>
    <x v="0"/>
    <x v="0"/>
    <n v="6"/>
    <x v="0"/>
    <x v="16"/>
    <x v="0"/>
    <x v="20"/>
    <s v="High Humidity"/>
    <x v="1"/>
    <n v="0.1045"/>
    <n v="2"/>
    <x v="33"/>
    <x v="62"/>
  </r>
  <r>
    <x v="953"/>
    <d v="2011-02-12T00:00:00"/>
    <x v="0"/>
    <x v="0"/>
    <x v="1"/>
    <x v="8"/>
    <x v="0"/>
    <x v="0"/>
    <n v="6"/>
    <x v="0"/>
    <x v="14"/>
    <x v="0"/>
    <x v="20"/>
    <s v="High Humidity"/>
    <x v="3"/>
    <n v="0.1343"/>
    <n v="2"/>
    <x v="95"/>
    <x v="33"/>
  </r>
  <r>
    <x v="954"/>
    <d v="2011-02-12T00:00:00"/>
    <x v="0"/>
    <x v="0"/>
    <x v="1"/>
    <x v="9"/>
    <x v="0"/>
    <x v="0"/>
    <n v="6"/>
    <x v="0"/>
    <x v="13"/>
    <x v="0"/>
    <x v="18"/>
    <s v="High Humidity"/>
    <x v="26"/>
    <n v="0.1343"/>
    <n v="5"/>
    <x v="101"/>
    <x v="74"/>
  </r>
  <r>
    <x v="955"/>
    <d v="2011-02-12T00:00:00"/>
    <x v="0"/>
    <x v="0"/>
    <x v="1"/>
    <x v="10"/>
    <x v="0"/>
    <x v="0"/>
    <n v="6"/>
    <x v="0"/>
    <x v="1"/>
    <x v="0"/>
    <x v="12"/>
    <s v="Low Humidity"/>
    <x v="48"/>
    <n v="0.25369999999999998"/>
    <n v="13"/>
    <x v="13"/>
    <x v="11"/>
  </r>
  <r>
    <x v="956"/>
    <d v="2011-02-12T00:00:00"/>
    <x v="0"/>
    <x v="0"/>
    <x v="1"/>
    <x v="11"/>
    <x v="0"/>
    <x v="0"/>
    <n v="6"/>
    <x v="0"/>
    <x v="11"/>
    <x v="1"/>
    <x v="1"/>
    <s v="Low Humidity"/>
    <x v="40"/>
    <n v="0.32840000000000003"/>
    <n v="30"/>
    <x v="151"/>
    <x v="181"/>
  </r>
  <r>
    <x v="957"/>
    <d v="2011-02-12T00:00:00"/>
    <x v="0"/>
    <x v="0"/>
    <x v="1"/>
    <x v="12"/>
    <x v="0"/>
    <x v="0"/>
    <n v="6"/>
    <x v="0"/>
    <x v="11"/>
    <x v="1"/>
    <x v="1"/>
    <s v="Low Humidity"/>
    <x v="17"/>
    <n v="0.4627"/>
    <n v="27"/>
    <x v="139"/>
    <x v="151"/>
  </r>
  <r>
    <x v="958"/>
    <d v="2011-02-12T00:00:00"/>
    <x v="0"/>
    <x v="0"/>
    <x v="1"/>
    <x v="13"/>
    <x v="0"/>
    <x v="0"/>
    <n v="6"/>
    <x v="0"/>
    <x v="11"/>
    <x v="1"/>
    <x v="1"/>
    <s v="Low Humidity"/>
    <x v="17"/>
    <n v="0.41789999999999999"/>
    <n v="32"/>
    <x v="145"/>
    <x v="169"/>
  </r>
  <r>
    <x v="959"/>
    <d v="2011-02-12T00:00:00"/>
    <x v="0"/>
    <x v="0"/>
    <x v="1"/>
    <x v="14"/>
    <x v="0"/>
    <x v="0"/>
    <n v="6"/>
    <x v="0"/>
    <x v="10"/>
    <x v="1"/>
    <x v="21"/>
    <s v="Low Humidity"/>
    <x v="61"/>
    <n v="0.28360000000000002"/>
    <n v="30"/>
    <x v="92"/>
    <x v="151"/>
  </r>
  <r>
    <x v="960"/>
    <d v="2011-02-12T00:00:00"/>
    <x v="0"/>
    <x v="0"/>
    <x v="1"/>
    <x v="15"/>
    <x v="0"/>
    <x v="0"/>
    <n v="6"/>
    <x v="0"/>
    <x v="10"/>
    <x v="1"/>
    <x v="25"/>
    <s v="Low Humidity"/>
    <x v="44"/>
    <n v="0.41789999999999999"/>
    <n v="47"/>
    <x v="69"/>
    <x v="177"/>
  </r>
  <r>
    <x v="961"/>
    <d v="2011-02-12T00:00:00"/>
    <x v="0"/>
    <x v="0"/>
    <x v="1"/>
    <x v="16"/>
    <x v="0"/>
    <x v="0"/>
    <n v="6"/>
    <x v="0"/>
    <x v="10"/>
    <x v="1"/>
    <x v="25"/>
    <s v="Low Humidity"/>
    <x v="44"/>
    <n v="0.41789999999999999"/>
    <n v="42"/>
    <x v="145"/>
    <x v="190"/>
  </r>
  <r>
    <x v="962"/>
    <d v="2011-02-12T00:00:00"/>
    <x v="0"/>
    <x v="0"/>
    <x v="1"/>
    <x v="17"/>
    <x v="0"/>
    <x v="0"/>
    <n v="6"/>
    <x v="0"/>
    <x v="3"/>
    <x v="1"/>
    <x v="0"/>
    <s v="Low Humidity"/>
    <x v="61"/>
    <n v="0.52239999999999998"/>
    <n v="24"/>
    <x v="182"/>
    <x v="120"/>
  </r>
  <r>
    <x v="963"/>
    <d v="2011-02-12T00:00:00"/>
    <x v="0"/>
    <x v="0"/>
    <x v="1"/>
    <x v="18"/>
    <x v="0"/>
    <x v="0"/>
    <n v="6"/>
    <x v="0"/>
    <x v="17"/>
    <x v="1"/>
    <x v="2"/>
    <s v="Low Humidity"/>
    <x v="41"/>
    <n v="0.32840000000000003"/>
    <n v="4"/>
    <x v="91"/>
    <x v="37"/>
  </r>
  <r>
    <x v="964"/>
    <d v="2011-02-12T00:00:00"/>
    <x v="0"/>
    <x v="0"/>
    <x v="1"/>
    <x v="19"/>
    <x v="0"/>
    <x v="0"/>
    <n v="6"/>
    <x v="0"/>
    <x v="17"/>
    <x v="1"/>
    <x v="1"/>
    <s v="Low Humidity"/>
    <x v="41"/>
    <n v="0.16420000000000001"/>
    <n v="2"/>
    <x v="87"/>
    <x v="102"/>
  </r>
  <r>
    <x v="965"/>
    <d v="2011-02-12T00:00:00"/>
    <x v="0"/>
    <x v="0"/>
    <x v="1"/>
    <x v="20"/>
    <x v="0"/>
    <x v="0"/>
    <n v="6"/>
    <x v="0"/>
    <x v="12"/>
    <x v="1"/>
    <x v="2"/>
    <s v="Low Humidity"/>
    <x v="48"/>
    <n v="0.22389999999999999"/>
    <n v="1"/>
    <x v="87"/>
    <x v="1"/>
  </r>
  <r>
    <x v="966"/>
    <d v="2011-02-12T00:00:00"/>
    <x v="0"/>
    <x v="0"/>
    <x v="1"/>
    <x v="21"/>
    <x v="0"/>
    <x v="0"/>
    <n v="6"/>
    <x v="0"/>
    <x v="12"/>
    <x v="1"/>
    <x v="25"/>
    <s v="Low Humidity"/>
    <x v="48"/>
    <n v="0"/>
    <n v="9"/>
    <x v="76"/>
    <x v="41"/>
  </r>
  <r>
    <x v="967"/>
    <d v="2011-02-12T00:00:00"/>
    <x v="0"/>
    <x v="0"/>
    <x v="1"/>
    <x v="22"/>
    <x v="0"/>
    <x v="0"/>
    <n v="6"/>
    <x v="0"/>
    <x v="0"/>
    <x v="1"/>
    <x v="2"/>
    <s v="Low Humidity"/>
    <x v="18"/>
    <n v="8.9599999999999999E-2"/>
    <n v="6"/>
    <x v="87"/>
    <x v="79"/>
  </r>
  <r>
    <x v="968"/>
    <d v="2011-02-12T00:00:00"/>
    <x v="0"/>
    <x v="0"/>
    <x v="1"/>
    <x v="23"/>
    <x v="0"/>
    <x v="0"/>
    <n v="6"/>
    <x v="0"/>
    <x v="1"/>
    <x v="0"/>
    <x v="11"/>
    <s v="Low Humidity"/>
    <x v="33"/>
    <n v="0.1343"/>
    <n v="1"/>
    <x v="17"/>
    <x v="2"/>
  </r>
  <r>
    <x v="969"/>
    <d v="2011-02-13T00:00:00"/>
    <x v="0"/>
    <x v="0"/>
    <x v="1"/>
    <x v="0"/>
    <x v="0"/>
    <x v="0"/>
    <n v="0"/>
    <x v="0"/>
    <x v="2"/>
    <x v="0"/>
    <x v="11"/>
    <s v="High Humidity"/>
    <x v="26"/>
    <n v="0.1045"/>
    <n v="5"/>
    <x v="60"/>
    <x v="21"/>
  </r>
  <r>
    <x v="970"/>
    <d v="2011-02-13T00:00:00"/>
    <x v="0"/>
    <x v="0"/>
    <x v="1"/>
    <x v="1"/>
    <x v="0"/>
    <x v="0"/>
    <n v="0"/>
    <x v="0"/>
    <x v="2"/>
    <x v="0"/>
    <x v="11"/>
    <s v="Low Humidity"/>
    <x v="29"/>
    <n v="8.9599999999999999E-2"/>
    <n v="1"/>
    <x v="140"/>
    <x v="108"/>
  </r>
  <r>
    <x v="971"/>
    <d v="2011-02-13T00:00:00"/>
    <x v="0"/>
    <x v="0"/>
    <x v="1"/>
    <x v="2"/>
    <x v="0"/>
    <x v="0"/>
    <n v="0"/>
    <x v="1"/>
    <x v="2"/>
    <x v="0"/>
    <x v="11"/>
    <s v="High Humidity"/>
    <x v="2"/>
    <n v="8.9599999999999999E-2"/>
    <n v="1"/>
    <x v="23"/>
    <x v="25"/>
  </r>
  <r>
    <x v="972"/>
    <d v="2011-02-13T00:00:00"/>
    <x v="0"/>
    <x v="0"/>
    <x v="1"/>
    <x v="3"/>
    <x v="0"/>
    <x v="0"/>
    <n v="0"/>
    <x v="1"/>
    <x v="2"/>
    <x v="0"/>
    <x v="11"/>
    <s v="High Humidity"/>
    <x v="27"/>
    <n v="0.1045"/>
    <n v="4"/>
    <x v="21"/>
    <x v="47"/>
  </r>
  <r>
    <x v="973"/>
    <d v="2011-02-13T00:00:00"/>
    <x v="0"/>
    <x v="0"/>
    <x v="1"/>
    <x v="4"/>
    <x v="0"/>
    <x v="0"/>
    <n v="0"/>
    <x v="1"/>
    <x v="2"/>
    <x v="0"/>
    <x v="12"/>
    <s v="High Humidity"/>
    <x v="27"/>
    <n v="0.16420000000000001"/>
    <n v="0"/>
    <x v="6"/>
    <x v="5"/>
  </r>
  <r>
    <x v="974"/>
    <d v="2011-02-13T00:00:00"/>
    <x v="0"/>
    <x v="0"/>
    <x v="1"/>
    <x v="6"/>
    <x v="0"/>
    <x v="0"/>
    <n v="0"/>
    <x v="1"/>
    <x v="2"/>
    <x v="0"/>
    <x v="12"/>
    <s v="High Humidity"/>
    <x v="27"/>
    <n v="0.1343"/>
    <n v="2"/>
    <x v="35"/>
    <x v="36"/>
  </r>
  <r>
    <x v="975"/>
    <d v="2011-02-13T00:00:00"/>
    <x v="0"/>
    <x v="0"/>
    <x v="1"/>
    <x v="7"/>
    <x v="0"/>
    <x v="0"/>
    <n v="0"/>
    <x v="1"/>
    <x v="1"/>
    <x v="0"/>
    <x v="1"/>
    <s v="Low Humidity"/>
    <x v="28"/>
    <n v="0"/>
    <n v="0"/>
    <x v="35"/>
    <x v="6"/>
  </r>
  <r>
    <x v="976"/>
    <d v="2011-02-13T00:00:00"/>
    <x v="0"/>
    <x v="0"/>
    <x v="1"/>
    <x v="8"/>
    <x v="0"/>
    <x v="0"/>
    <n v="0"/>
    <x v="1"/>
    <x v="1"/>
    <x v="0"/>
    <x v="11"/>
    <s v="High Humidity"/>
    <x v="26"/>
    <n v="0.19400000000000001"/>
    <n v="1"/>
    <x v="48"/>
    <x v="47"/>
  </r>
  <r>
    <x v="977"/>
    <d v="2011-02-13T00:00:00"/>
    <x v="0"/>
    <x v="0"/>
    <x v="1"/>
    <x v="9"/>
    <x v="0"/>
    <x v="0"/>
    <n v="0"/>
    <x v="1"/>
    <x v="0"/>
    <x v="1"/>
    <x v="11"/>
    <s v="High Humidity"/>
    <x v="54"/>
    <n v="0.22389999999999999"/>
    <n v="12"/>
    <x v="96"/>
    <x v="105"/>
  </r>
  <r>
    <x v="978"/>
    <d v="2011-02-13T00:00:00"/>
    <x v="0"/>
    <x v="0"/>
    <x v="1"/>
    <x v="10"/>
    <x v="0"/>
    <x v="0"/>
    <n v="0"/>
    <x v="0"/>
    <x v="11"/>
    <x v="1"/>
    <x v="1"/>
    <s v="Low Humidity"/>
    <x v="49"/>
    <n v="0.32840000000000003"/>
    <n v="19"/>
    <x v="132"/>
    <x v="136"/>
  </r>
  <r>
    <x v="979"/>
    <d v="2011-02-13T00:00:00"/>
    <x v="0"/>
    <x v="0"/>
    <x v="1"/>
    <x v="11"/>
    <x v="0"/>
    <x v="0"/>
    <n v="0"/>
    <x v="0"/>
    <x v="3"/>
    <x v="1"/>
    <x v="0"/>
    <s v="Low Humidity"/>
    <x v="17"/>
    <n v="0.44779999999999998"/>
    <n v="26"/>
    <x v="132"/>
    <x v="59"/>
  </r>
  <r>
    <x v="980"/>
    <d v="2011-02-13T00:00:00"/>
    <x v="0"/>
    <x v="0"/>
    <x v="1"/>
    <x v="12"/>
    <x v="0"/>
    <x v="0"/>
    <n v="0"/>
    <x v="0"/>
    <x v="5"/>
    <x v="1"/>
    <x v="21"/>
    <s v="Low Humidity"/>
    <x v="25"/>
    <n v="0.4627"/>
    <n v="58"/>
    <x v="111"/>
    <x v="148"/>
  </r>
  <r>
    <x v="981"/>
    <d v="2011-02-13T00:00:00"/>
    <x v="0"/>
    <x v="0"/>
    <x v="1"/>
    <x v="13"/>
    <x v="0"/>
    <x v="0"/>
    <n v="0"/>
    <x v="0"/>
    <x v="4"/>
    <x v="1"/>
    <x v="5"/>
    <s v="Low Humidity"/>
    <x v="44"/>
    <n v="0.35820000000000002"/>
    <n v="62"/>
    <x v="50"/>
    <x v="38"/>
  </r>
  <r>
    <x v="982"/>
    <d v="2011-02-13T00:00:00"/>
    <x v="0"/>
    <x v="0"/>
    <x v="1"/>
    <x v="14"/>
    <x v="0"/>
    <x v="0"/>
    <n v="0"/>
    <x v="1"/>
    <x v="9"/>
    <x v="1"/>
    <x v="10"/>
    <s v="Low Humidity"/>
    <x v="24"/>
    <n v="0.41789999999999999"/>
    <n v="51"/>
    <x v="59"/>
    <x v="143"/>
  </r>
  <r>
    <x v="983"/>
    <d v="2011-02-13T00:00:00"/>
    <x v="0"/>
    <x v="0"/>
    <x v="1"/>
    <x v="15"/>
    <x v="0"/>
    <x v="0"/>
    <n v="0"/>
    <x v="1"/>
    <x v="9"/>
    <x v="1"/>
    <x v="10"/>
    <s v="Low Humidity"/>
    <x v="24"/>
    <n v="0.29849999999999999"/>
    <n v="40"/>
    <x v="183"/>
    <x v="123"/>
  </r>
  <r>
    <x v="984"/>
    <d v="2011-02-13T00:00:00"/>
    <x v="0"/>
    <x v="0"/>
    <x v="1"/>
    <x v="16"/>
    <x v="0"/>
    <x v="0"/>
    <n v="0"/>
    <x v="1"/>
    <x v="6"/>
    <x v="1"/>
    <x v="7"/>
    <s v="Low Humidity"/>
    <x v="40"/>
    <n v="0.32840000000000003"/>
    <n v="28"/>
    <x v="184"/>
    <x v="87"/>
  </r>
  <r>
    <x v="985"/>
    <d v="2011-02-13T00:00:00"/>
    <x v="0"/>
    <x v="0"/>
    <x v="1"/>
    <x v="17"/>
    <x v="0"/>
    <x v="0"/>
    <n v="0"/>
    <x v="0"/>
    <x v="6"/>
    <x v="1"/>
    <x v="7"/>
    <s v="Low Humidity"/>
    <x v="40"/>
    <n v="0.32840000000000003"/>
    <n v="30"/>
    <x v="73"/>
    <x v="139"/>
  </r>
  <r>
    <x v="986"/>
    <d v="2011-02-13T00:00:00"/>
    <x v="0"/>
    <x v="0"/>
    <x v="1"/>
    <x v="18"/>
    <x v="0"/>
    <x v="0"/>
    <n v="0"/>
    <x v="0"/>
    <x v="9"/>
    <x v="1"/>
    <x v="10"/>
    <s v="Low Humidity"/>
    <x v="25"/>
    <n v="0.29849999999999999"/>
    <n v="17"/>
    <x v="78"/>
    <x v="76"/>
  </r>
  <r>
    <x v="987"/>
    <d v="2011-02-13T00:00:00"/>
    <x v="0"/>
    <x v="0"/>
    <x v="1"/>
    <x v="19"/>
    <x v="0"/>
    <x v="0"/>
    <n v="0"/>
    <x v="0"/>
    <x v="9"/>
    <x v="1"/>
    <x v="10"/>
    <s v="Low Humidity"/>
    <x v="23"/>
    <n v="0.28360000000000002"/>
    <n v="11"/>
    <x v="54"/>
    <x v="42"/>
  </r>
  <r>
    <x v="988"/>
    <d v="2011-02-13T00:00:00"/>
    <x v="0"/>
    <x v="0"/>
    <x v="1"/>
    <x v="20"/>
    <x v="0"/>
    <x v="0"/>
    <n v="0"/>
    <x v="0"/>
    <x v="9"/>
    <x v="1"/>
    <x v="10"/>
    <s v="Low Humidity"/>
    <x v="23"/>
    <n v="0.32840000000000003"/>
    <n v="15"/>
    <x v="1"/>
    <x v="105"/>
  </r>
  <r>
    <x v="989"/>
    <d v="2011-02-13T00:00:00"/>
    <x v="0"/>
    <x v="0"/>
    <x v="1"/>
    <x v="21"/>
    <x v="0"/>
    <x v="0"/>
    <n v="0"/>
    <x v="0"/>
    <x v="9"/>
    <x v="1"/>
    <x v="10"/>
    <s v="Low Humidity"/>
    <x v="23"/>
    <n v="0.35820000000000002"/>
    <n v="6"/>
    <x v="108"/>
    <x v="41"/>
  </r>
  <r>
    <x v="990"/>
    <d v="2011-02-13T00:00:00"/>
    <x v="0"/>
    <x v="0"/>
    <x v="1"/>
    <x v="22"/>
    <x v="0"/>
    <x v="0"/>
    <n v="0"/>
    <x v="0"/>
    <x v="9"/>
    <x v="1"/>
    <x v="10"/>
    <s v="Low Humidity"/>
    <x v="23"/>
    <n v="0.29849999999999999"/>
    <n v="5"/>
    <x v="17"/>
    <x v="9"/>
  </r>
  <r>
    <x v="991"/>
    <d v="2011-02-13T00:00:00"/>
    <x v="0"/>
    <x v="0"/>
    <x v="1"/>
    <x v="23"/>
    <x v="0"/>
    <x v="0"/>
    <n v="0"/>
    <x v="0"/>
    <x v="9"/>
    <x v="1"/>
    <x v="10"/>
    <s v="Low Humidity"/>
    <x v="23"/>
    <n v="0.35820000000000002"/>
    <n v="3"/>
    <x v="2"/>
    <x v="33"/>
  </r>
  <r>
    <x v="992"/>
    <d v="2011-02-14T00:00:00"/>
    <x v="0"/>
    <x v="0"/>
    <x v="1"/>
    <x v="0"/>
    <x v="0"/>
    <x v="0"/>
    <n v="1"/>
    <x v="0"/>
    <x v="4"/>
    <x v="1"/>
    <x v="5"/>
    <s v="Low Humidity"/>
    <x v="38"/>
    <n v="0.35820000000000002"/>
    <n v="3"/>
    <x v="21"/>
    <x v="62"/>
  </r>
  <r>
    <x v="993"/>
    <d v="2011-02-14T00:00:00"/>
    <x v="0"/>
    <x v="0"/>
    <x v="1"/>
    <x v="1"/>
    <x v="0"/>
    <x v="0"/>
    <n v="1"/>
    <x v="0"/>
    <x v="4"/>
    <x v="1"/>
    <x v="5"/>
    <s v="Low Humidity"/>
    <x v="38"/>
    <n v="0.35820000000000002"/>
    <n v="1"/>
    <x v="8"/>
    <x v="85"/>
  </r>
  <r>
    <x v="994"/>
    <d v="2011-02-14T00:00:00"/>
    <x v="0"/>
    <x v="0"/>
    <x v="1"/>
    <x v="2"/>
    <x v="0"/>
    <x v="0"/>
    <n v="1"/>
    <x v="0"/>
    <x v="5"/>
    <x v="1"/>
    <x v="6"/>
    <s v="Low Humidity"/>
    <x v="22"/>
    <n v="0.29849999999999999"/>
    <n v="0"/>
    <x v="6"/>
    <x v="5"/>
  </r>
  <r>
    <x v="995"/>
    <d v="2011-02-14T00:00:00"/>
    <x v="0"/>
    <x v="0"/>
    <x v="1"/>
    <x v="3"/>
    <x v="0"/>
    <x v="0"/>
    <n v="1"/>
    <x v="0"/>
    <x v="10"/>
    <x v="1"/>
    <x v="21"/>
    <s v="Low Humidity"/>
    <x v="15"/>
    <n v="0.22389999999999999"/>
    <n v="1"/>
    <x v="4"/>
    <x v="5"/>
  </r>
  <r>
    <x v="996"/>
    <d v="2011-02-14T00:00:00"/>
    <x v="0"/>
    <x v="0"/>
    <x v="1"/>
    <x v="4"/>
    <x v="0"/>
    <x v="0"/>
    <n v="1"/>
    <x v="0"/>
    <x v="3"/>
    <x v="1"/>
    <x v="25"/>
    <s v="Low Humidity"/>
    <x v="45"/>
    <n v="0.28360000000000002"/>
    <n v="0"/>
    <x v="6"/>
    <x v="5"/>
  </r>
  <r>
    <x v="997"/>
    <d v="2011-02-14T00:00:00"/>
    <x v="0"/>
    <x v="0"/>
    <x v="1"/>
    <x v="5"/>
    <x v="0"/>
    <x v="0"/>
    <n v="1"/>
    <x v="0"/>
    <x v="3"/>
    <x v="1"/>
    <x v="25"/>
    <s v="Low Humidity"/>
    <x v="45"/>
    <n v="0.28360000000000002"/>
    <n v="0"/>
    <x v="35"/>
    <x v="6"/>
  </r>
  <r>
    <x v="998"/>
    <d v="2011-02-14T00:00:00"/>
    <x v="0"/>
    <x v="0"/>
    <x v="1"/>
    <x v="6"/>
    <x v="0"/>
    <x v="0"/>
    <n v="1"/>
    <x v="0"/>
    <x v="10"/>
    <x v="1"/>
    <x v="25"/>
    <s v="Low Humidity"/>
    <x v="15"/>
    <n v="0.29849999999999999"/>
    <n v="1"/>
    <x v="18"/>
    <x v="132"/>
  </r>
  <r>
    <x v="999"/>
    <d v="2011-02-14T00:00:00"/>
    <x v="0"/>
    <x v="0"/>
    <x v="1"/>
    <x v="7"/>
    <x v="0"/>
    <x v="0"/>
    <n v="1"/>
    <x v="0"/>
    <x v="10"/>
    <x v="1"/>
    <x v="25"/>
    <s v="Low Humidity"/>
    <x v="15"/>
    <n v="0.29849999999999999"/>
    <n v="2"/>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7CBCD-90FC-4A00-BCB7-14F010CE35A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1" firstHeaderRow="0" firstDataRow="1" firstDataCol="0"/>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pivotField showAll="0">
      <items count="2">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items count="5">
        <item x="0"/>
        <item x="1"/>
        <item x="2"/>
        <item h="1" x="3"/>
        <item t="default"/>
      </items>
    </pivotField>
    <pivotField showAll="0"/>
    <pivotField showAll="0"/>
    <pivotField dataField="1"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Items count="1">
    <i/>
  </rowItems>
  <colFields count="1">
    <field x="-2"/>
  </colFields>
  <colItems count="3">
    <i>
      <x/>
    </i>
    <i i="1">
      <x v="1"/>
    </i>
    <i i="2">
      <x v="2"/>
    </i>
  </colItems>
  <dataFields count="3">
    <dataField name="Sum of Attempt" fld="12" baseField="0" baseItem="0"/>
    <dataField name="Sum of Registered" fld="17" baseField="0" baseItem="0"/>
    <dataField name="Sum of Count" fld="18" baseField="0" baseItem="0"/>
  </dataFields>
  <formats count="3">
    <format dxfId="0">
      <pivotArea type="all" dataOnly="0" outline="0" fieldPosition="0"/>
    </format>
    <format dxfId="1">
      <pivotArea outline="0" collapsedLevelsAreSubtotals="1" fieldPosition="0"/>
    </format>
    <format dxfId="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CA846-CD0F-4665-8C7C-D1038CF957F6}" name="PivotTable1" cacheId="3"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chartFormat="5" rowHeaderCaption="Hour">
  <location ref="A10:B16"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items count="2">
        <item x="0"/>
        <item t="default"/>
      </items>
    </pivotField>
    <pivotField showAll="0">
      <items count="2">
        <item x="0"/>
        <item t="default"/>
      </items>
    </pivotField>
    <pivotField showAll="0">
      <items count="3">
        <item x="0"/>
        <item x="1"/>
        <item t="default"/>
      </items>
    </pivotField>
    <pivotField axis="axisRow" showAll="0">
      <items count="8">
        <item x="0"/>
        <item x="1"/>
        <item x="2"/>
        <item x="3"/>
        <item x="4"/>
        <item x="5"/>
        <item x="6"/>
        <item t="default"/>
      </items>
    </pivotField>
    <pivotField showAll="0"/>
    <pivotField showAll="0">
      <items count="3">
        <item x="1"/>
        <item x="0"/>
        <item t="default"/>
      </items>
    </pivotField>
    <pivotField showAll="0"/>
    <pivotField showAll="0">
      <items count="5">
        <item x="0"/>
        <item x="1"/>
        <item x="2"/>
        <item h="1" x="3"/>
        <item t="default"/>
      </items>
    </pivotField>
    <pivotField showAll="0"/>
    <pivotField showAll="0"/>
    <pivotField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5"/>
  </rowFields>
  <rowItems count="6">
    <i>
      <x v="1"/>
    </i>
    <i>
      <x v="2"/>
    </i>
    <i>
      <x v="3"/>
    </i>
    <i>
      <x v="4"/>
    </i>
    <i>
      <x v="5"/>
    </i>
    <i t="grand">
      <x/>
    </i>
  </rowItems>
  <colItems count="1">
    <i/>
  </colItems>
  <dataFields count="1">
    <dataField name="Average of Count" fld="18" subtotal="average" baseField="0" baseItem="0" numFmtId="2"/>
  </dataFields>
  <formats count="28">
    <format dxfId="3">
      <pivotArea type="all" dataOnly="0" outline="0" fieldPosition="0"/>
    </format>
    <format dxfId="4">
      <pivotArea outline="0" collapsedLevelsAreSubtotals="1" fieldPosition="0"/>
    </format>
    <format dxfId="5">
      <pivotArea field="5" type="button" dataOnly="0" labelOnly="1" outline="0" axis="axisRow" fieldPosition="0"/>
    </format>
    <format dxfId="6">
      <pivotArea dataOnly="0" labelOnly="1" fieldPosition="0">
        <references count="1">
          <reference field="5" count="0"/>
        </references>
      </pivotArea>
    </format>
    <format dxfId="7">
      <pivotArea dataOnly="0" labelOnly="1" grandRow="1" outline="0" fieldPosition="0"/>
    </format>
    <format dxfId="8">
      <pivotArea dataOnly="0" labelOnly="1" outline="0" axis="axisValues" fieldPosition="0"/>
    </format>
    <format dxfId="9">
      <pivotArea outline="0" collapsedLevelsAreSubtotals="1" fieldPosition="0"/>
    </format>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 dxfId="20">
      <pivotArea outline="0" collapsedLevelsAreSubtotals="1" fieldPosition="0"/>
    </format>
    <format dxfId="21">
      <pivotArea dataOnly="0" outline="0" axis="axisValues" fieldPosition="0"/>
    </format>
    <format dxfId="22">
      <pivotArea field="5" type="button" dataOnly="0" labelOnly="1" outline="0" axis="axisRow" fieldPosition="0"/>
    </format>
    <format dxfId="23">
      <pivotArea dataOnly="0" labelOnly="1" outline="0" axis="axisValues" fieldPosition="0"/>
    </format>
    <format dxfId="24">
      <pivotArea outline="0" collapsedLevelsAreSubtotals="1" fieldPosition="0"/>
    </format>
    <format dxfId="25">
      <pivotArea type="all" dataOnly="0" outline="0" fieldPosition="0"/>
    </format>
    <format dxfId="26">
      <pivotArea outline="0" collapsedLevelsAreSubtotals="1" fieldPosition="0"/>
    </format>
    <format dxfId="27">
      <pivotArea field="5" type="button" dataOnly="0" labelOnly="1" outline="0" axis="axisRow" fieldPosition="0"/>
    </format>
    <format dxfId="28">
      <pivotArea dataOnly="0" labelOnly="1" fieldPosition="0">
        <references count="1">
          <reference field="5" count="5">
            <x v="1"/>
            <x v="2"/>
            <x v="3"/>
            <x v="4"/>
            <x v="5"/>
          </reference>
        </references>
      </pivotArea>
    </format>
    <format dxfId="29">
      <pivotArea dataOnly="0" labelOnly="1" grandRow="1" outline="0" fieldPosition="0"/>
    </format>
    <format dxfId="30">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34294-5882-48F8-B055-958D5B5EC0AC}" name="PivotTable2" cacheId="3"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chartFormat="3" rowHeaderCaption="Temperature">
  <location ref="A19:B22"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items count="2">
        <item x="0"/>
        <item t="default"/>
      </items>
    </pivotField>
    <pivotField showAll="0">
      <items count="2">
        <item x="0"/>
        <item t="default"/>
      </items>
    </pivotField>
    <pivotField showAll="0">
      <items count="3">
        <item x="0"/>
        <item x="1"/>
        <item t="default"/>
      </items>
    </pivotField>
    <pivotField showAll="0">
      <items count="8">
        <item x="0"/>
        <item x="1"/>
        <item x="2"/>
        <item x="3"/>
        <item x="4"/>
        <item x="5"/>
        <item x="6"/>
        <item t="default"/>
      </items>
    </pivotField>
    <pivotField showAll="0"/>
    <pivotField showAll="0">
      <items count="3">
        <item x="1"/>
        <item x="0"/>
        <item t="default"/>
      </items>
    </pivotField>
    <pivotField showAll="0"/>
    <pivotField showAll="0">
      <items count="5">
        <item x="0"/>
        <item x="1"/>
        <item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3">
        <item x="0"/>
        <item x="1"/>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11"/>
  </rowFields>
  <rowItems count="3">
    <i>
      <x/>
    </i>
    <i>
      <x v="1"/>
    </i>
    <i t="grand">
      <x/>
    </i>
  </rowItems>
  <colItems count="1">
    <i/>
  </colItems>
  <dataFields count="1">
    <dataField name="Average of Count" fld="18" subtotal="average" baseField="0" baseItem="0"/>
  </dataFields>
  <formats count="27">
    <format dxfId="31">
      <pivotArea type="all" dataOnly="0" outline="0" fieldPosition="0"/>
    </format>
    <format dxfId="32">
      <pivotArea outline="0" collapsedLevelsAreSubtotals="1" fieldPosition="0"/>
    </format>
    <format dxfId="33">
      <pivotArea field="5" type="button" dataOnly="0" labelOnly="1" outline="0"/>
    </format>
    <format dxfId="34">
      <pivotArea dataOnly="0" labelOnly="1" grandRow="1" outline="0" fieldPosition="0"/>
    </format>
    <format dxfId="35">
      <pivotArea dataOnly="0" labelOnly="1" outline="0" axis="axisValues" fieldPosition="0"/>
    </format>
    <format dxfId="36">
      <pivotArea outline="0" collapsedLevelsAreSubtotals="1" fieldPosition="0"/>
    </format>
    <format dxfId="37">
      <pivotArea outline="0" collapsedLevelsAreSubtotals="1" fieldPosition="0"/>
    </format>
    <format dxfId="38">
      <pivotArea outline="0" collapsedLevelsAreSubtotals="1" fieldPosition="0"/>
    </format>
    <format dxfId="39">
      <pivotArea outline="0" collapsedLevelsAreSubtotals="1" fieldPosition="0"/>
    </format>
    <format dxfId="40">
      <pivotArea outline="0" collapsedLevelsAreSubtotals="1" fieldPosition="0"/>
    </format>
    <format dxfId="41">
      <pivotArea outline="0" collapsedLevelsAreSubtotals="1"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outline="0" collapsedLevelsAreSubtotals="1" fieldPosition="0"/>
    </format>
    <format dxfId="46">
      <pivotArea outline="0" collapsedLevelsAreSubtotals="1" fieldPosition="0"/>
    </format>
    <format dxfId="47">
      <pivotArea outline="0" collapsedLevelsAreSubtotals="1" fieldPosition="0"/>
    </format>
    <format dxfId="48">
      <pivotArea dataOnly="0" outline="0" axis="axisValues" fieldPosition="0"/>
    </format>
    <format dxfId="49">
      <pivotArea field="5" type="button" dataOnly="0" labelOnly="1" outline="0"/>
    </format>
    <format dxfId="50">
      <pivotArea dataOnly="0" labelOnly="1" outline="0" axis="axisValues" fieldPosition="0"/>
    </format>
    <format dxfId="51">
      <pivotArea outline="0" collapsedLevelsAreSubtotals="1" fieldPosition="0"/>
    </format>
    <format dxfId="52">
      <pivotArea type="all" dataOnly="0" outline="0" fieldPosition="0"/>
    </format>
    <format dxfId="53">
      <pivotArea outline="0" collapsedLevelsAreSubtotals="1" fieldPosition="0"/>
    </format>
    <format dxfId="54">
      <pivotArea field="5" type="button" dataOnly="0" labelOnly="1" outline="0"/>
    </format>
    <format dxfId="55">
      <pivotArea dataOnly="0" labelOnly="1" grandRow="1" outline="0" fieldPosition="0"/>
    </format>
    <format dxfId="56">
      <pivotArea dataOnly="0" labelOnly="1" outline="0" axis="axisValues" fieldPosition="0"/>
    </format>
    <format dxfId="57">
      <pivotArea field="11" type="button" dataOnly="0" labelOnly="1" outline="0" axis="axisRow"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4323F-36C6-4425-BFFF-20FEF00FFA61}" name="PivotTable3" cacheId="3"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chartFormat="3" rowHeaderCaption="Holiday">
  <location ref="A25:B28" firstHeaderRow="1"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items count="2">
        <item x="0"/>
        <item t="default"/>
      </items>
    </pivotField>
    <pivotField showAll="0">
      <items count="2">
        <item x="0"/>
        <item t="default"/>
      </items>
    </pivotField>
    <pivotField showAll="0">
      <items count="3">
        <item x="0"/>
        <item x="1"/>
        <item t="default"/>
      </items>
    </pivotField>
    <pivotField showAll="0">
      <items count="8">
        <item x="0"/>
        <item x="1"/>
        <item x="2"/>
        <item x="3"/>
        <item x="4"/>
        <item x="5"/>
        <item x="6"/>
        <item t="default"/>
      </items>
    </pivotField>
    <pivotField showAll="0">
      <items count="3">
        <item x="0"/>
        <item x="1"/>
        <item t="default"/>
      </items>
    </pivotField>
    <pivotField axis="axisRow" showAll="0">
      <items count="3">
        <item x="1"/>
        <item x="0"/>
        <item t="default"/>
      </items>
    </pivotField>
    <pivotField showAll="0"/>
    <pivotField showAll="0">
      <items count="5">
        <item x="0"/>
        <item x="1"/>
        <item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
        <item x="0"/>
        <item x="1"/>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7"/>
  </rowFields>
  <rowItems count="3">
    <i>
      <x/>
    </i>
    <i>
      <x v="1"/>
    </i>
    <i t="grand">
      <x/>
    </i>
  </rowItems>
  <colItems count="1">
    <i/>
  </colItems>
  <dataFields count="1">
    <dataField name="Average of Count" fld="18" subtotal="average" baseField="0" baseItem="0"/>
  </dataFields>
  <formats count="28">
    <format dxfId="58">
      <pivotArea type="all" dataOnly="0" outline="0" fieldPosition="0"/>
    </format>
    <format dxfId="59">
      <pivotArea outline="0" collapsedLevelsAreSubtotals="1" fieldPosition="0"/>
    </format>
    <format dxfId="60">
      <pivotArea field="5" type="button" dataOnly="0" labelOnly="1" outline="0"/>
    </format>
    <format dxfId="61">
      <pivotArea dataOnly="0" labelOnly="1" grandRow="1" outline="0" fieldPosition="0"/>
    </format>
    <format dxfId="62">
      <pivotArea dataOnly="0" labelOnly="1" outline="0" axis="axisValues" fieldPosition="0"/>
    </format>
    <format dxfId="63">
      <pivotArea outline="0" collapsedLevelsAreSubtotals="1" fieldPosition="0"/>
    </format>
    <format dxfId="64">
      <pivotArea outline="0" collapsedLevelsAreSubtotals="1" fieldPosition="0"/>
    </format>
    <format dxfId="65">
      <pivotArea outline="0" collapsedLevelsAreSubtotals="1" fieldPosition="0"/>
    </format>
    <format dxfId="66">
      <pivotArea outline="0" collapsedLevelsAreSubtotals="1" fieldPosition="0"/>
    </format>
    <format dxfId="67">
      <pivotArea outline="0" collapsedLevelsAreSubtotals="1" fieldPosition="0"/>
    </format>
    <format dxfId="68">
      <pivotArea outline="0" collapsedLevelsAreSubtotals="1" fieldPosition="0"/>
    </format>
    <format dxfId="69">
      <pivotArea outline="0" collapsedLevelsAreSubtotals="1" fieldPosition="0"/>
    </format>
    <format dxfId="70">
      <pivotArea outline="0" collapsedLevelsAreSubtotals="1" fieldPosition="0"/>
    </format>
    <format dxfId="71">
      <pivotArea outline="0" collapsedLevelsAreSubtotals="1" fieldPosition="0"/>
    </format>
    <format dxfId="72">
      <pivotArea outline="0" collapsedLevelsAreSubtotals="1" fieldPosition="0"/>
    </format>
    <format dxfId="73">
      <pivotArea outline="0" collapsedLevelsAreSubtotals="1" fieldPosition="0"/>
    </format>
    <format dxfId="74">
      <pivotArea outline="0" collapsedLevelsAreSubtotals="1" fieldPosition="0"/>
    </format>
    <format dxfId="75">
      <pivotArea dataOnly="0" outline="0" axis="axisValues" fieldPosition="0"/>
    </format>
    <format dxfId="76">
      <pivotArea field="5" type="button" dataOnly="0" labelOnly="1" outline="0"/>
    </format>
    <format dxfId="77">
      <pivotArea dataOnly="0" labelOnly="1" outline="0" axis="axisValues" fieldPosition="0"/>
    </format>
    <format dxfId="78">
      <pivotArea outline="0" collapsedLevelsAreSubtotals="1" fieldPosition="0"/>
    </format>
    <format dxfId="79">
      <pivotArea type="all" dataOnly="0" outline="0" fieldPosition="0"/>
    </format>
    <format dxfId="80">
      <pivotArea outline="0" collapsedLevelsAreSubtotals="1" fieldPosition="0"/>
    </format>
    <format dxfId="81">
      <pivotArea field="5" type="button" dataOnly="0" labelOnly="1" outline="0"/>
    </format>
    <format dxfId="82">
      <pivotArea dataOnly="0" labelOnly="1" grandRow="1" outline="0" fieldPosition="0"/>
    </format>
    <format dxfId="83">
      <pivotArea dataOnly="0" labelOnly="1" outline="0" axis="axisValues" fieldPosition="0"/>
    </format>
    <format dxfId="84">
      <pivotArea field="11" type="button" dataOnly="0" labelOnly="1" outline="0"/>
    </format>
    <format dxfId="85">
      <pivotArea field="7" type="button" dataOnly="0" labelOnly="1" outline="0" axis="axisRow"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F22FB-CD0E-4C56-89EE-5AEBFA127113}" name="PivotTable4" cacheId="3" applyNumberFormats="0" applyBorderFormats="0" applyFontFormats="0" applyPatternFormats="0" applyAlignmentFormats="0" applyWidthHeightFormats="1" dataCaption="Values" grandTotalCaption="Overall Average" updatedVersion="8" minRefreshableVersion="3" useAutoFormatting="1" itemPrintTitles="1" createdVersion="8" indent="0" outline="1" outlineData="1" multipleFieldFilters="0" chartFormat="10" rowHeaderCaption="Holiday">
  <location ref="A31:B32" firstHeaderRow="0" firstDataRow="1" firstDataCol="0"/>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items count="2">
        <item x="0"/>
        <item t="default"/>
      </items>
    </pivotField>
    <pivotField showAll="0">
      <items count="2">
        <item x="0"/>
        <item t="default"/>
      </items>
    </pivotField>
    <pivotField showAll="0">
      <items count="3">
        <item x="0"/>
        <item x="1"/>
        <item t="default"/>
      </items>
    </pivotField>
    <pivotField showAll="0">
      <items count="8">
        <item x="0"/>
        <item x="1"/>
        <item x="2"/>
        <item x="3"/>
        <item x="4"/>
        <item x="5"/>
        <item x="6"/>
        <item t="default"/>
      </items>
    </pivotField>
    <pivotField showAll="0">
      <items count="3">
        <item x="0"/>
        <item x="1"/>
        <item t="default"/>
      </items>
    </pivotField>
    <pivotField showAll="0">
      <items count="3">
        <item x="1"/>
        <item x="0"/>
        <item t="default"/>
      </items>
    </pivotField>
    <pivotField showAll="0"/>
    <pivotField showAll="0">
      <items count="5">
        <item x="0"/>
        <item x="1"/>
        <item x="2"/>
        <item h="1"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
        <item x="0"/>
        <item x="1"/>
        <item t="default"/>
      </items>
    </pivotField>
    <pivotField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Items count="1">
    <i/>
  </rowItems>
  <colFields count="1">
    <field x="-2"/>
  </colFields>
  <colItems count="2">
    <i>
      <x/>
    </i>
    <i i="1">
      <x v="1"/>
    </i>
  </colItems>
  <dataFields count="2">
    <dataField name="Average of Casual" fld="16" subtotal="average" baseField="0" baseItem="0"/>
    <dataField name="Average of Registered" fld="17" subtotal="average" baseField="0" baseItem="0"/>
  </dataFields>
  <formats count="30">
    <format dxfId="86">
      <pivotArea type="all" dataOnly="0" outline="0" fieldPosition="0"/>
    </format>
    <format dxfId="87">
      <pivotArea outline="0" collapsedLevelsAreSubtotals="1" fieldPosition="0"/>
    </format>
    <format dxfId="88">
      <pivotArea field="5" type="button" dataOnly="0" labelOnly="1" outline="0"/>
    </format>
    <format dxfId="89">
      <pivotArea dataOnly="0" labelOnly="1" grandRow="1" outline="0" fieldPosition="0"/>
    </format>
    <format dxfId="90">
      <pivotArea dataOnly="0" labelOnly="1" outline="0" axis="axisValues" fieldPosition="0"/>
    </format>
    <format dxfId="91">
      <pivotArea outline="0" collapsedLevelsAreSubtotals="1" fieldPosition="0"/>
    </format>
    <format dxfId="92">
      <pivotArea outline="0" collapsedLevelsAreSubtotals="1" fieldPosition="0"/>
    </format>
    <format dxfId="93">
      <pivotArea outline="0" collapsedLevelsAreSubtotals="1" fieldPosition="0"/>
    </format>
    <format dxfId="94">
      <pivotArea outline="0" collapsedLevelsAreSubtotals="1" fieldPosition="0"/>
    </format>
    <format dxfId="95">
      <pivotArea outline="0" collapsedLevelsAreSubtotals="1" fieldPosition="0"/>
    </format>
    <format dxfId="96">
      <pivotArea outline="0" collapsedLevelsAreSubtotals="1" fieldPosition="0"/>
    </format>
    <format dxfId="97">
      <pivotArea outline="0" collapsedLevelsAreSubtotals="1" fieldPosition="0"/>
    </format>
    <format dxfId="98">
      <pivotArea outline="0" collapsedLevelsAreSubtotals="1" fieldPosition="0"/>
    </format>
    <format dxfId="99">
      <pivotArea outline="0" collapsedLevelsAreSubtotals="1" fieldPosition="0"/>
    </format>
    <format dxfId="100">
      <pivotArea outline="0" collapsedLevelsAreSubtotals="1" fieldPosition="0"/>
    </format>
    <format dxfId="101">
      <pivotArea outline="0" collapsedLevelsAreSubtotals="1" fieldPosition="0"/>
    </format>
    <format dxfId="102">
      <pivotArea outline="0" collapsedLevelsAreSubtotals="1" fieldPosition="0"/>
    </format>
    <format dxfId="103">
      <pivotArea dataOnly="0" outline="0" axis="axisValues" fieldPosition="0"/>
    </format>
    <format dxfId="104">
      <pivotArea field="5" type="button" dataOnly="0" labelOnly="1" outline="0"/>
    </format>
    <format dxfId="105">
      <pivotArea dataOnly="0" labelOnly="1" outline="0" axis="axisValues" fieldPosition="0"/>
    </format>
    <format dxfId="106">
      <pivotArea outline="0" collapsedLevelsAreSubtotals="1" fieldPosition="0"/>
    </format>
    <format dxfId="107">
      <pivotArea type="all" dataOnly="0" outline="0" fieldPosition="0"/>
    </format>
    <format dxfId="108">
      <pivotArea outline="0" collapsedLevelsAreSubtotals="1" fieldPosition="0"/>
    </format>
    <format dxfId="109">
      <pivotArea field="5" type="button" dataOnly="0" labelOnly="1" outline="0"/>
    </format>
    <format dxfId="110">
      <pivotArea dataOnly="0" labelOnly="1" grandRow="1" outline="0" fieldPosition="0"/>
    </format>
    <format dxfId="111">
      <pivotArea dataOnly="0" labelOnly="1" outline="0" axis="axisValues" fieldPosition="0"/>
    </format>
    <format dxfId="112">
      <pivotArea field="11" type="button" dataOnly="0" labelOnly="1" outline="0"/>
    </format>
    <format dxfId="113">
      <pivotArea field="7" type="button" dataOnly="0" labelOnly="1" outline="0"/>
    </format>
    <format dxfId="114">
      <pivotArea dataOnly="0" labelOnly="1" outline="0" fieldPosition="0">
        <references count="1">
          <reference field="4294967294" count="1">
            <x v="1"/>
          </reference>
        </references>
      </pivotArea>
    </format>
    <format dxfId="115">
      <pivotArea dataOnly="0" labelOnly="1" outline="0" fieldPosition="0">
        <references count="1">
          <reference field="4294967294" count="1">
            <x v="0"/>
          </reference>
        </references>
      </pivotArea>
    </format>
  </formats>
  <chartFormats count="2">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CCF8A9-0345-4D40-A592-AC15B386853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37" firstHeaderRow="0" firstDataRow="1" firstDataCol="0"/>
  <pivotFields count="1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pivotField showAll="0"/>
    <pivotField showAll="0">
      <items count="2">
        <item x="0"/>
        <item t="default"/>
      </items>
    </pivotField>
    <pivotField showAll="0">
      <items count="3">
        <item x="0"/>
        <item x="1"/>
        <item t="default"/>
      </items>
    </pivotField>
    <pivotField showAll="0"/>
    <pivotField showAll="0"/>
    <pivotField showAll="0">
      <items count="3">
        <item x="1"/>
        <item x="0"/>
        <item t="default"/>
      </items>
    </pivotField>
    <pivotField showAll="0"/>
    <pivotField dataField="1" showAll="0">
      <items count="5">
        <item x="0"/>
        <item x="1"/>
        <item x="2"/>
        <item h="1" x="3"/>
        <item t="default"/>
      </items>
    </pivotField>
    <pivotField showAll="0"/>
    <pivotField showAll="0"/>
    <pivotField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Items count="1">
    <i/>
  </rowItems>
  <colFields count="1">
    <field x="-2"/>
  </colFields>
  <colItems count="2">
    <i>
      <x/>
    </i>
    <i i="1">
      <x v="1"/>
    </i>
  </colItems>
  <dataFields count="2">
    <dataField name="Sum of Weathersituation" fld="9" baseField="0" baseItem="0"/>
    <dataField name="Sum of Instant" fld="0" baseField="0" baseItem="0"/>
  </dataFields>
  <formats count="4">
    <format dxfId="116">
      <pivotArea type="all" dataOnly="0" outline="0" fieldPosition="0"/>
    </format>
    <format dxfId="117">
      <pivotArea outline="0" collapsedLevelsAreSubtotals="1" fieldPosition="0"/>
    </format>
    <format dxfId="118">
      <pivotArea dataOnly="0" labelOnly="1" outline="0" fieldPosition="0">
        <references count="1">
          <reference field="4294967294" count="2">
            <x v="0"/>
            <x v="1"/>
          </reference>
        </references>
      </pivotArea>
    </format>
    <format dxfId="11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nt" xr10:uid="{53A3A82A-5F61-4A3C-8630-437B5A7BC0D8}" sourceName="Instant">
  <data>
    <tabular pivotCacheId="1657694356">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58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F18E42-B0D0-4952-B6BE-95D9ED9BD7D5}" sourceName="Year">
  <data>
    <tabular pivotCacheId="1657694356">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8AC668-DF42-4143-845A-920952F2F7B5}" sourceName="Month">
  <data>
    <tabular pivotCacheId="16576943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s" xr10:uid="{BDCD8D03-CF4A-4C5C-8B4E-5C0394EB265B}" sourceName="Holidays">
  <data>
    <tabular pivotCacheId="165769435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uation" xr10:uid="{745D29B8-4884-4CCB-BAE2-724FB913A070}" sourceName="Weathersituation">
  <data>
    <tabular pivotCacheId="1657694356">
      <items count="4">
        <i x="0" s="1"/>
        <i x="1" s="1"/>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mpt" xr10:uid="{0FD65B92-4C14-4591-813A-25798041D64C}" sourceName="Attempt">
  <data>
    <tabular pivotCacheId="1657694356">
      <items count="31">
        <i x="28" s="1"/>
        <i x="29" s="1"/>
        <i x="26" s="1"/>
        <i x="27" s="1"/>
        <i x="22" s="1"/>
        <i x="23" s="1"/>
        <i x="24" s="1"/>
        <i x="15" s="1"/>
        <i x="16" s="1"/>
        <i x="14" s="1"/>
        <i x="20" s="1"/>
        <i x="17" s="1"/>
        <i x="18" s="1"/>
        <i x="13" s="1"/>
        <i x="12" s="1"/>
        <i x="11" s="1"/>
        <i x="19" s="1"/>
        <i x="2" s="1"/>
        <i x="1" s="1"/>
        <i x="0" s="1"/>
        <i x="25" s="1"/>
        <i x="21" s="1"/>
        <i x="6" s="1"/>
        <i x="4" s="1"/>
        <i x="30" s="1"/>
        <i x="5" s="1"/>
        <i x="10" s="1"/>
        <i x="7" s="1"/>
        <i x="9" s="1"/>
        <i x="8"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2" xr10:uid="{75DBD0A1-9577-4BDD-AE04-63CEB97F5934}" sourceName="Humidity2">
  <data>
    <tabular pivotCacheId="1657694356">
      <items count="64">
        <i x="58" s="1"/>
        <i x="63" s="1"/>
        <i x="59" s="1"/>
        <i x="60" s="1"/>
        <i x="57" s="1"/>
        <i x="40" s="1"/>
        <i x="44" s="1"/>
        <i x="24" s="1"/>
        <i x="61"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62" s="1"/>
        <i x="32" s="1"/>
        <i x="2" s="1"/>
        <i x="4" s="1"/>
        <i x="5" s="1"/>
        <i x="1" s="1"/>
        <i x="0" s="1"/>
        <i x="7" s="1"/>
        <i x="3" s="1"/>
        <i x="9" s="1"/>
        <i x="8" s="1"/>
        <i x="50" s="1"/>
        <i x="43"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3D72757C-4BDF-40CA-8C40-C15FD28B023E}" sourceName="Registered">
  <data>
    <tabular pivotCacheId="1657694356">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 xr10:uid="{754D29A7-C976-4B63-9E65-332959E24C62}" sourceName="Count">
  <data>
    <tabular pivotCacheId="1657694356">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65"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ant" xr10:uid="{7465A3F6-97F4-437F-B46B-EDA3DB1F7EC9}" cache="Slicer_Instant" caption="Instant" rowHeight="238506"/>
  <slicer name="Year" xr10:uid="{849881C9-23BF-4926-8FAA-0F821146DDC3}" cache="Slicer_Year" caption="Year" rowHeight="238506"/>
  <slicer name="Month" xr10:uid="{EDDACE02-3F0C-44B7-AAA5-184BD8151189}" cache="Slicer_Month" caption="Month" rowHeight="238506"/>
  <slicer name="Holidays" xr10:uid="{37EA9A6F-4391-4950-BD77-7CF63C952332}" cache="Slicer_Holidays" caption="Holidays" rowHeight="238506"/>
  <slicer name="Weathersituation" xr10:uid="{A7D4A32B-6744-4521-8339-150308203A91}" cache="Slicer_Weathersituation" caption="Weathersituation" startItem="1" rowHeight="238506"/>
  <slicer name="Attempt" xr10:uid="{9CB30D4C-5029-4FB4-9F0D-1F47D1F4BCBB}" cache="Slicer_Attempt" caption="Attempt" startItem="24" rowHeight="238506"/>
  <slicer name="Humidity2" xr10:uid="{35750CDB-411C-4EF7-965E-28C6EECFE965}" cache="Slicer_Humidity2" caption="Humidity2" startItem="21" rowHeight="238506"/>
  <slicer name="Registered" xr10:uid="{531ED489-E7AB-45A1-808D-20F03E842F78}" cache="Slicer_Registered" caption="Registered" startItem="9" rowHeight="238506"/>
  <slicer name="Count" xr10:uid="{E4FE25A6-1E90-4492-AA31-BDE3DBB9F62F}" cache="Slicer_Count" caption="Count" startItem="12" rowHeight="2385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FDC5-7A16-47E0-8286-C346C25FABB5}">
  <dimension ref="A3:Y61"/>
  <sheetViews>
    <sheetView showGridLines="0" tabSelected="1" topLeftCell="C43" workbookViewId="0">
      <selection activeCell="G4" sqref="G4"/>
    </sheetView>
  </sheetViews>
  <sheetFormatPr defaultRowHeight="14.4" x14ac:dyDescent="0.3"/>
  <cols>
    <col min="1" max="1" width="13.59765625" bestFit="1" customWidth="1"/>
    <col min="2" max="2" width="15.5" bestFit="1" customWidth="1"/>
    <col min="3" max="3" width="11.3984375" bestFit="1" customWidth="1"/>
    <col min="4" max="5" width="9.5" bestFit="1" customWidth="1"/>
    <col min="6" max="6" width="17.296875" bestFit="1" customWidth="1"/>
    <col min="16" max="16" width="17.3984375" customWidth="1"/>
    <col min="17" max="17" width="19.296875" customWidth="1"/>
  </cols>
  <sheetData>
    <row r="3" spans="1:25" x14ac:dyDescent="0.3">
      <c r="M3" t="s">
        <v>26</v>
      </c>
      <c r="O3" t="s">
        <v>24</v>
      </c>
    </row>
    <row r="5" spans="1:25" x14ac:dyDescent="0.3">
      <c r="M5" s="18">
        <f>+MAX(B11:B15)</f>
        <v>103.50462962962963</v>
      </c>
      <c r="O5" t="s">
        <v>20</v>
      </c>
    </row>
    <row r="6" spans="1:25" ht="31.1" x14ac:dyDescent="0.6">
      <c r="C6" s="17"/>
      <c r="D6" s="16" t="s">
        <v>25</v>
      </c>
      <c r="E6" s="16"/>
      <c r="F6" s="16"/>
      <c r="G6" s="16"/>
      <c r="H6" s="16"/>
      <c r="I6" s="15"/>
      <c r="J6" s="15"/>
      <c r="K6" s="15"/>
      <c r="L6" s="14"/>
      <c r="M6" s="14"/>
      <c r="N6" s="14"/>
      <c r="O6" s="14"/>
      <c r="P6" s="14"/>
      <c r="Q6" s="14"/>
      <c r="R6" s="14"/>
      <c r="S6" s="14"/>
      <c r="T6" s="14"/>
      <c r="U6" s="14"/>
      <c r="V6" s="14"/>
      <c r="W6" s="14"/>
      <c r="X6" s="14"/>
      <c r="Y6" s="14"/>
    </row>
    <row r="10" spans="1:25" x14ac:dyDescent="0.3">
      <c r="A10" s="11" t="s">
        <v>24</v>
      </c>
      <c r="B10" s="10" t="s">
        <v>15</v>
      </c>
    </row>
    <row r="11" spans="1:25" x14ac:dyDescent="0.3">
      <c r="A11" s="8" t="s">
        <v>23</v>
      </c>
      <c r="B11" s="7">
        <v>8.8263157894736839</v>
      </c>
    </row>
    <row r="12" spans="1:25" s="12" customFormat="1" x14ac:dyDescent="0.3">
      <c r="A12" s="8" t="s">
        <v>22</v>
      </c>
      <c r="B12" s="7">
        <v>59.543269230769234</v>
      </c>
      <c r="C12" s="13"/>
    </row>
    <row r="13" spans="1:25" x14ac:dyDescent="0.3">
      <c r="A13" s="8" t="s">
        <v>21</v>
      </c>
      <c r="B13" s="7">
        <v>68.572769953051647</v>
      </c>
      <c r="C13" s="2"/>
    </row>
    <row r="14" spans="1:25" x14ac:dyDescent="0.3">
      <c r="A14" s="8" t="s">
        <v>20</v>
      </c>
      <c r="B14" s="7">
        <v>103.50462962962963</v>
      </c>
      <c r="C14" s="2"/>
    </row>
    <row r="15" spans="1:25" x14ac:dyDescent="0.3">
      <c r="A15" s="8" t="s">
        <v>19</v>
      </c>
      <c r="B15" s="7">
        <v>42.110465116279073</v>
      </c>
      <c r="C15" s="2"/>
    </row>
    <row r="16" spans="1:25" x14ac:dyDescent="0.3">
      <c r="A16" s="8" t="s">
        <v>12</v>
      </c>
      <c r="B16" s="7">
        <v>58.326326326326324</v>
      </c>
      <c r="C16" s="2"/>
    </row>
    <row r="17" spans="1:4" x14ac:dyDescent="0.3">
      <c r="A17" s="2"/>
      <c r="B17" s="2"/>
      <c r="C17" s="2"/>
    </row>
    <row r="18" spans="1:4" x14ac:dyDescent="0.3">
      <c r="A18" s="2"/>
      <c r="B18" s="2"/>
      <c r="C18" s="2"/>
    </row>
    <row r="19" spans="1:4" x14ac:dyDescent="0.3">
      <c r="A19" s="11" t="s">
        <v>18</v>
      </c>
      <c r="B19" s="10" t="s">
        <v>15</v>
      </c>
      <c r="C19" s="2"/>
    </row>
    <row r="20" spans="1:4" x14ac:dyDescent="0.3">
      <c r="A20" s="8" t="s">
        <v>17</v>
      </c>
      <c r="B20" s="7">
        <v>50.755555555555553</v>
      </c>
      <c r="C20" s="2"/>
    </row>
    <row r="21" spans="1:4" x14ac:dyDescent="0.3">
      <c r="A21" s="8" t="s">
        <v>16</v>
      </c>
      <c r="B21" s="7">
        <v>69.024154589371975</v>
      </c>
      <c r="C21" s="2"/>
    </row>
    <row r="22" spans="1:4" x14ac:dyDescent="0.3">
      <c r="A22" s="8" t="s">
        <v>12</v>
      </c>
      <c r="B22" s="7">
        <v>58.326326326326324</v>
      </c>
      <c r="C22" s="2"/>
    </row>
    <row r="23" spans="1:4" x14ac:dyDescent="0.3">
      <c r="A23" s="2"/>
      <c r="B23" s="2"/>
      <c r="C23" s="2"/>
    </row>
    <row r="24" spans="1:4" x14ac:dyDescent="0.3">
      <c r="A24" s="2"/>
      <c r="B24" s="2"/>
      <c r="C24" s="2"/>
    </row>
    <row r="25" spans="1:4" x14ac:dyDescent="0.3">
      <c r="A25" s="11" t="s">
        <v>14</v>
      </c>
      <c r="B25" s="10" t="s">
        <v>15</v>
      </c>
      <c r="C25" s="2"/>
    </row>
    <row r="26" spans="1:4" x14ac:dyDescent="0.3">
      <c r="A26" s="8" t="s">
        <v>14</v>
      </c>
      <c r="B26" s="7">
        <v>41.666666666666664</v>
      </c>
      <c r="C26" s="2"/>
      <c r="D26" s="9"/>
    </row>
    <row r="27" spans="1:4" x14ac:dyDescent="0.3">
      <c r="A27" s="8" t="s">
        <v>13</v>
      </c>
      <c r="B27" s="7">
        <v>58.736410256410259</v>
      </c>
      <c r="C27" s="2"/>
    </row>
    <row r="28" spans="1:4" x14ac:dyDescent="0.3">
      <c r="A28" s="8" t="s">
        <v>12</v>
      </c>
      <c r="B28" s="7">
        <v>58.326326326326324</v>
      </c>
      <c r="C28" s="2"/>
    </row>
    <row r="29" spans="1:4" x14ac:dyDescent="0.3">
      <c r="A29" s="2"/>
      <c r="B29" s="2"/>
      <c r="C29" s="2"/>
    </row>
    <row r="30" spans="1:4" x14ac:dyDescent="0.3">
      <c r="A30" s="2"/>
      <c r="B30" s="2"/>
      <c r="C30" s="2"/>
    </row>
    <row r="31" spans="1:4" ht="28.8" x14ac:dyDescent="0.3">
      <c r="A31" s="6" t="s">
        <v>11</v>
      </c>
      <c r="B31" s="6" t="s">
        <v>10</v>
      </c>
      <c r="C31" s="2"/>
    </row>
    <row r="32" spans="1:4" x14ac:dyDescent="0.3">
      <c r="A32" s="5">
        <v>4.924924924924925</v>
      </c>
      <c r="B32" s="5">
        <v>53.401401401401401</v>
      </c>
      <c r="C32" s="2"/>
    </row>
    <row r="33" spans="1:3" x14ac:dyDescent="0.3">
      <c r="A33" s="2"/>
      <c r="B33" s="2"/>
      <c r="C33" s="2"/>
    </row>
    <row r="34" spans="1:3" x14ac:dyDescent="0.3">
      <c r="A34" s="2"/>
      <c r="B34" s="2"/>
      <c r="C34" s="2"/>
    </row>
    <row r="35" spans="1:3" x14ac:dyDescent="0.3">
      <c r="A35" s="2"/>
      <c r="B35" s="2"/>
      <c r="C35" s="2"/>
    </row>
    <row r="36" spans="1:3" ht="43.2" x14ac:dyDescent="0.3">
      <c r="A36" s="4" t="s">
        <v>9</v>
      </c>
      <c r="B36" s="3" t="s">
        <v>8</v>
      </c>
      <c r="C36" s="2"/>
    </row>
    <row r="37" spans="1:3" x14ac:dyDescent="0.3">
      <c r="A37" s="3">
        <v>1476</v>
      </c>
      <c r="B37" s="3">
        <v>499914</v>
      </c>
      <c r="C37" s="2"/>
    </row>
    <row r="38" spans="1:3" x14ac:dyDescent="0.3">
      <c r="A38" s="2"/>
      <c r="B38" s="2"/>
      <c r="C38" s="2"/>
    </row>
    <row r="39" spans="1:3" x14ac:dyDescent="0.3">
      <c r="A39" s="2"/>
      <c r="B39" s="2"/>
      <c r="C39" s="2"/>
    </row>
    <row r="40" spans="1:3" x14ac:dyDescent="0.3">
      <c r="A40" s="3" t="s">
        <v>7</v>
      </c>
      <c r="B40" s="3" t="s">
        <v>6</v>
      </c>
      <c r="C40" s="3" t="s">
        <v>5</v>
      </c>
    </row>
    <row r="41" spans="1:3" x14ac:dyDescent="0.3">
      <c r="A41" s="3">
        <v>209.42930000000052</v>
      </c>
      <c r="B41" s="3">
        <v>53348</v>
      </c>
      <c r="C41" s="3">
        <v>58268</v>
      </c>
    </row>
    <row r="42" spans="1:3" x14ac:dyDescent="0.3">
      <c r="C42" s="2"/>
    </row>
    <row r="43" spans="1:3" x14ac:dyDescent="0.3">
      <c r="A43" s="2"/>
      <c r="B43" s="2"/>
      <c r="C43" s="2"/>
    </row>
    <row r="44" spans="1:3" x14ac:dyDescent="0.3">
      <c r="A44" s="2"/>
      <c r="B44" s="2"/>
      <c r="C44" s="2"/>
    </row>
    <row r="45" spans="1:3" x14ac:dyDescent="0.3">
      <c r="A45" s="2"/>
      <c r="B45" s="2"/>
      <c r="C45" s="2"/>
    </row>
    <row r="46" spans="1:3" x14ac:dyDescent="0.3">
      <c r="A46" s="2"/>
      <c r="B46" s="2"/>
      <c r="C46" s="2"/>
    </row>
    <row r="57" spans="1:2" x14ac:dyDescent="0.3">
      <c r="A57" s="1" t="s">
        <v>4</v>
      </c>
    </row>
    <row r="58" spans="1:2" x14ac:dyDescent="0.3">
      <c r="A58">
        <v>1</v>
      </c>
      <c r="B58" t="s">
        <v>3</v>
      </c>
    </row>
    <row r="59" spans="1:2" x14ac:dyDescent="0.3">
      <c r="A59">
        <v>2</v>
      </c>
      <c r="B59" t="s">
        <v>2</v>
      </c>
    </row>
    <row r="60" spans="1:2" x14ac:dyDescent="0.3">
      <c r="A60">
        <v>3</v>
      </c>
      <c r="B60" t="s">
        <v>1</v>
      </c>
    </row>
    <row r="61" spans="1:2" x14ac:dyDescent="0.3">
      <c r="A61">
        <v>4</v>
      </c>
      <c r="B61" t="s">
        <v>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Farin kausar</dc:creator>
  <cp:lastModifiedBy>Farin kausar</cp:lastModifiedBy>
  <dcterms:created xsi:type="dcterms:W3CDTF">2026-07-24T07:03:41Z</dcterms:created>
  <dcterms:modified xsi:type="dcterms:W3CDTF">2026-07-24T07:04:23Z</dcterms:modified>
</cp:coreProperties>
</file>